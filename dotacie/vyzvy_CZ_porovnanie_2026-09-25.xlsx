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úhrn" sheetId="1" state="visible" r:id="rId3"/>
    <sheet name="Výzvy" sheetId="2" state="visible" r:id="rId4"/>
    <sheet name="Legenda" sheetId="3" state="visible" r:id="rId5"/>
  </sheets>
  <definedNames>
    <definedName function="false" hidden="true" localSheetId="1" name="_xlnm._FilterDatabase" vbProcedure="false">Výzvy!$A$1:$R$117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Vstup: zmeň na dnešný dátum, stĺpce Stav a Dní do uzávierky sa prepočítajú.</t>
        </r>
      </text>
    </comment>
  </commentList>
</comments>
</file>

<file path=xl/sharedStrings.xml><?xml version="1.0" encoding="utf-8"?>
<sst xmlns="http://schemas.openxmlformats.org/spreadsheetml/2006/main" count="1532" uniqueCount="489">
  <si>
    <t xml:space="preserve">Porovnanie dotačných výziev ČR – grantové poradenstvo</t>
  </si>
  <si>
    <t xml:space="preserve">Dnes (stav sa prepočíta od tohto dátumu):</t>
  </si>
  <si>
    <t xml:space="preserve">Stav \ Relevancia</t>
  </si>
  <si>
    <t xml:space="preserve">Vysoká</t>
  </si>
  <si>
    <t xml:space="preserve">Stredná</t>
  </si>
  <si>
    <t xml:space="preserve">Nízka</t>
  </si>
  <si>
    <t xml:space="preserve">Spolu</t>
  </si>
  <si>
    <t xml:space="preserve">Po uzávierke</t>
  </si>
  <si>
    <t xml:space="preserve">Končí do 14 dní</t>
  </si>
  <si>
    <t xml:space="preserve">Otvorená</t>
  </si>
  <si>
    <t xml:space="preserve">Očakávaná</t>
  </si>
  <si>
    <t xml:space="preserve">Priebežná</t>
  </si>
  <si>
    <t xml:space="preserve">Zdroj \ Stav</t>
  </si>
  <si>
    <t xml:space="preserve">Tvoj zoznam</t>
  </si>
  <si>
    <t xml:space="preserve">Doplnok (web)</t>
  </si>
  <si>
    <t xml:space="preserve">Oplatí sa riešiť hneď (vysoká relevancia, ešte sa dá podať)</t>
  </si>
  <si>
    <t xml:space="preserve">Počet:</t>
  </si>
  <si>
    <t xml:space="preserve">ID</t>
  </si>
  <si>
    <t xml:space="preserve">Zdroj</t>
  </si>
  <si>
    <t xml:space="preserve">Poskytovateľ / program</t>
  </si>
  <si>
    <t xml:space="preserve">Výzva</t>
  </si>
  <si>
    <t xml:space="preserve">Pre koho</t>
  </si>
  <si>
    <t xml:space="preserve">Typ financovania</t>
  </si>
  <si>
    <t xml:space="preserve">Územie</t>
  </si>
  <si>
    <t xml:space="preserve">Alokácia</t>
  </si>
  <si>
    <t xml:space="preserve">Max. %</t>
  </si>
  <si>
    <t xml:space="preserve">Max. dotácia</t>
  </si>
  <si>
    <t xml:space="preserve">Uzávierka</t>
  </si>
  <si>
    <t xml:space="preserve">Termín – poznámka</t>
  </si>
  <si>
    <t xml:space="preserve">Status v zdroji</t>
  </si>
  <si>
    <t xml:space="preserve">Stav k dátumu</t>
  </si>
  <si>
    <t xml:space="preserve">Dní do uzávierky</t>
  </si>
  <si>
    <t xml:space="preserve">Relevancia pre poradenstvo</t>
  </si>
  <si>
    <t xml:space="preserve">Poznámka</t>
  </si>
  <si>
    <t xml:space="preserve">Overenie / zdroj</t>
  </si>
  <si>
    <t xml:space="preserve">OP Životní prostředí</t>
  </si>
  <si>
    <t xml:space="preserve">104. výzva – prírode blízke opatrenia v krajine a sídlach</t>
  </si>
  <si>
    <t xml:space="preserve">Mix (obce, firmy, NNO, FO)</t>
  </si>
  <si>
    <t xml:space="preserve">Grant</t>
  </si>
  <si>
    <t xml:space="preserve">Regionálne (Praha + prechodové regióny)</t>
  </si>
  <si>
    <t xml:space="preserve">330 000 000 Kč</t>
  </si>
  <si>
    <t xml:space="preserve">100 %</t>
  </si>
  <si>
    <t xml:space="preserve">neuvedené</t>
  </si>
  <si>
    <t xml:space="preserve">Uzávierka dnes.</t>
  </si>
  <si>
    <t xml:space="preserve">tvoj zoznam</t>
  </si>
  <si>
    <t xml:space="preserve">TA ČR – SIGMA</t>
  </si>
  <si>
    <t xml:space="preserve">18. verejná súťaž – DC1 komercializácia VaVaI+</t>
  </si>
  <si>
    <t xml:space="preserve">Malé podniky a startupy</t>
  </si>
  <si>
    <t xml:space="preserve">Celorepublikové</t>
  </si>
  <si>
    <t xml:space="preserve">10 000 000 Kč</t>
  </si>
  <si>
    <t xml:space="preserve">70 %</t>
  </si>
  <si>
    <t xml:space="preserve">730 000 Kč</t>
  </si>
  <si>
    <t xml:space="preserve">Výstupom je štúdia uskutočniteľnosti v angličtine – ideálne na spracovanie konzultantom.</t>
  </si>
  <si>
    <t xml:space="preserve">AOPK ČR – OPŽP</t>
  </si>
  <si>
    <t xml:space="preserve">17. výzva SC 1.3 – prírode blízke opatrenia</t>
  </si>
  <si>
    <t xml:space="preserve">Mix (obce, vlastníci pozemkov, firmy, NNO)</t>
  </si>
  <si>
    <t xml:space="preserve">275 000 000 Kč</t>
  </si>
  <si>
    <t xml:space="preserve">Široký okruh žiadateľov, 100 %.</t>
  </si>
  <si>
    <t xml:space="preserve">18. výzva SC 1.6 – biodiverzita, chránené územia</t>
  </si>
  <si>
    <t xml:space="preserve">75 000 000 Kč</t>
  </si>
  <si>
    <t xml:space="preserve">Hl. m. Praha</t>
  </si>
  <si>
    <t xml:space="preserve">Památková péče 2027 – vlastníci pamiatkovo významných objektov</t>
  </si>
  <si>
    <t xml:space="preserve">Vlastníci pamiatok (Praha)</t>
  </si>
  <si>
    <t xml:space="preserve">Regionálne</t>
  </si>
  <si>
    <t xml:space="preserve">47 800 000 Kč</t>
  </si>
  <si>
    <t xml:space="preserve">65 %</t>
  </si>
  <si>
    <t xml:space="preserve">5 000 000 Kč</t>
  </si>
  <si>
    <t xml:space="preserve">Kraj Vysočina</t>
  </si>
  <si>
    <t xml:space="preserve">Podnikateľské vouchery 2026</t>
  </si>
  <si>
    <t xml:space="preserve">Firmy a OSVČ na Vysočine</t>
  </si>
  <si>
    <t xml:space="preserve">7 000 000 Kč</t>
  </si>
  <si>
    <t xml:space="preserve">príjem od 23. 3. 2026</t>
  </si>
  <si>
    <t xml:space="preserve">Inovácie, digitalizácia, kyberbezpečnosť.</t>
  </si>
  <si>
    <t xml:space="preserve">https://www.businessinfo.cz/clanky/kraj-vysocina-vyhlasil-podnikatelske-vouchery-2026/</t>
  </si>
  <si>
    <t xml:space="preserve">Česká rozvojová agentura</t>
  </si>
  <si>
    <t xml:space="preserve">Program B2B – rozvojové partnerstvo pre súkromný sektor</t>
  </si>
  <si>
    <t xml:space="preserve">Firmy (obchodné korporácie)</t>
  </si>
  <si>
    <t xml:space="preserve">Nadnárodné</t>
  </si>
  <si>
    <t xml:space="preserve">50 %</t>
  </si>
  <si>
    <t xml:space="preserve">2 000 000 Kč</t>
  </si>
  <si>
    <t xml:space="preserve">Výstupom je štúdia uskutočniteľnosti/podnikateľský plán – typická konzultantská práca.</t>
  </si>
  <si>
    <t xml:space="preserve">OP Zaměstnanost+</t>
  </si>
  <si>
    <t xml:space="preserve">12. výzva SC 1.2 – diverzitná a flexibilná pracovná kultúra</t>
  </si>
  <si>
    <t xml:space="preserve">Firmy, OSVČ, NNO, obce</t>
  </si>
  <si>
    <t xml:space="preserve">360 000 000 Kč</t>
  </si>
  <si>
    <t xml:space="preserve">100 % financovanie mäkkých projektov, široký okruh žiadateľov.</t>
  </si>
  <si>
    <t xml:space="preserve">Modernizační fond (SFŽP)</t>
  </si>
  <si>
    <t xml:space="preserve">TRANSCom 2/2025 – bezemisná cestná nákladná doprava</t>
  </si>
  <si>
    <t xml:space="preserve">Cestní dopravcovia</t>
  </si>
  <si>
    <t xml:space="preserve">960 000 000 Kč</t>
  </si>
  <si>
    <t xml:space="preserve">príjem od 2. 2. 2026</t>
  </si>
  <si>
    <t xml:space="preserve">Výmena dieselových nákladných áut za elektrické.</t>
  </si>
  <si>
    <t xml:space="preserve">https://sfzp.gov.cz/dotace-a-pujcky/modernizacni-fond/vyzvy/</t>
  </si>
  <si>
    <t xml:space="preserve">RES+ 6/2025 – agrofotovoltika a úložiská</t>
  </si>
  <si>
    <t xml:space="preserve">Poľnohospodári</t>
  </si>
  <si>
    <t xml:space="preserve">300 000 000 Kč</t>
  </si>
  <si>
    <t xml:space="preserve">príjem od 15. 1. 2026</t>
  </si>
  <si>
    <t xml:space="preserve">OP TAK (MPO/API)</t>
  </si>
  <si>
    <t xml:space="preserve">Technologie pro MAS (CLLD) – výzva II</t>
  </si>
  <si>
    <t xml:space="preserve">MSP na území MAS (mimo Prahy a miest nad 25 tis.)</t>
  </si>
  <si>
    <t xml:space="preserve">Regionálne (MAS)</t>
  </si>
  <si>
    <t xml:space="preserve">540 000 000 Kč</t>
  </si>
  <si>
    <t xml:space="preserve">1 490 000 Kč</t>
  </si>
  <si>
    <t xml:space="preserve">príjem od 1. 9. 2026</t>
  </si>
  <si>
    <t xml:space="preserve">Podporuje aj softvér a IT infraštruktúru – ERP/Odoo.</t>
  </si>
  <si>
    <t xml:space="preserve">https://www.businessinfo.cz/clanky/op-tak-vyhlaseni-vyzvy-ii-technologie-pro-mas-clld/</t>
  </si>
  <si>
    <t xml:space="preserve">92. výzva – detské skupiny (5)</t>
  </si>
  <si>
    <t xml:space="preserve">Firmy (podnikové DS), obce, NNO</t>
  </si>
  <si>
    <t xml:space="preserve">7 882 992 Kč</t>
  </si>
  <si>
    <t xml:space="preserve">vyhlásenie 03/2027</t>
  </si>
  <si>
    <t xml:space="preserve">Aj podnikové detské skupiny; 100 %.</t>
  </si>
  <si>
    <t xml:space="preserve">SFŽP ČR – NZÚ</t>
  </si>
  <si>
    <t xml:space="preserve">HOUSEnerg bytové domy – C: zdroje energie</t>
  </si>
  <si>
    <t xml:space="preserve">SVJ, bytové družstvá, vlastníci BD</t>
  </si>
  <si>
    <t xml:space="preserve">Veľký trh SVJ, dlhý termín.</t>
  </si>
  <si>
    <t xml:space="preserve">HOUSEnerg bytové domy – D: adaptačné a mitigačné opatrenia</t>
  </si>
  <si>
    <t xml:space="preserve">HOUSEnerg bytové domy – A: zateplenie</t>
  </si>
  <si>
    <t xml:space="preserve">OP Doprava</t>
  </si>
  <si>
    <t xml:space="preserve">46. výzva – rýchlodobíjanie osobných áut, celá ČR</t>
  </si>
  <si>
    <t xml:space="preserve">Vlastníci/správcovia infraštruktúry (aj firmy)</t>
  </si>
  <si>
    <t xml:space="preserve">315 000 000 Kč</t>
  </si>
  <si>
    <t xml:space="preserve">55 %</t>
  </si>
  <si>
    <t xml:space="preserve">vyhlásenie 09/2026, koniec 12/2026</t>
  </si>
  <si>
    <t xml:space="preserve">Aj pre firmy (obchody, hotely) s verejným prístupom.</t>
  </si>
  <si>
    <t xml:space="preserve">47. výzva – rýchlodobíjanie nákladných vozidiel</t>
  </si>
  <si>
    <t xml:space="preserve">500 000 000 Kč</t>
  </si>
  <si>
    <t xml:space="preserve">80 %</t>
  </si>
  <si>
    <t xml:space="preserve">vyhlásenie 10/2026, koniec 01/2027</t>
  </si>
  <si>
    <t xml:space="preserve">MK ČR</t>
  </si>
  <si>
    <t xml:space="preserve">Program záchrany architektonického dedičstva</t>
  </si>
  <si>
    <t xml:space="preserve">Vlastníci pamiatok</t>
  </si>
  <si>
    <t xml:space="preserve">Uzávierka o 5 dní.</t>
  </si>
  <si>
    <t xml:space="preserve">Cestovný ruch 2027 – Opatření I (asociačné kongresy a konferencie)</t>
  </si>
  <si>
    <t xml:space="preserve">Organizátori kongresov</t>
  </si>
  <si>
    <t xml:space="preserve">13 660 000 Kč</t>
  </si>
  <si>
    <t xml:space="preserve">Úzka cieľová skupina (min. 300/700 účastníkov, 30–40 % zo zahraničia); krátky termín.</t>
  </si>
  <si>
    <t xml:space="preserve">Cestovný ruch 2027 – Opatření II (akcie celoštátneho/medzinár. významu)</t>
  </si>
  <si>
    <t xml:space="preserve">Organizátori podujatí</t>
  </si>
  <si>
    <t xml:space="preserve">9 000 000 Kč</t>
  </si>
  <si>
    <t xml:space="preserve">30 %</t>
  </si>
  <si>
    <t xml:space="preserve">II.A max 2 mil. Kč, II.B max 0,5 mil. Kč</t>
  </si>
  <si>
    <t xml:space="preserve">Akcie mimo centra/sezóny; nízka miera podpory (30 %).</t>
  </si>
  <si>
    <t xml:space="preserve">SZIF – SP SZP</t>
  </si>
  <si>
    <t xml:space="preserve">Projektové intervencie – kolo 1.–22. 10. 2026</t>
  </si>
  <si>
    <t xml:space="preserve">Poľnohospodári, spracovatelia</t>
  </si>
  <si>
    <t xml:space="preserve">príjem 1.–22. 10. 2026; intervencie overiť (33.73 až jar 2027)</t>
  </si>
  <si>
    <t xml:space="preserve">Ktoré intervencie sú v kole – overiť na szif.gov.cz.</t>
  </si>
  <si>
    <t xml:space="preserve">https://agro-svet.cz/dotace/kalendar-kol/</t>
  </si>
  <si>
    <t xml:space="preserve">Železničná nákladná doprava – nové elektrické lokomotívy</t>
  </si>
  <si>
    <t xml:space="preserve">Železniční nákladní dopravcovia</t>
  </si>
  <si>
    <t xml:space="preserve">3 500 000 000 Kč</t>
  </si>
  <si>
    <t xml:space="preserve">príjem od 15. 12. 2025</t>
  </si>
  <si>
    <t xml:space="preserve">Životné prostredie 2027 – VII. adaptácia a mitigácia</t>
  </si>
  <si>
    <t xml:space="preserve">Mix (Praha: NNO, SVJ, FO)</t>
  </si>
  <si>
    <t xml:space="preserve">11 250 000 Kč</t>
  </si>
  <si>
    <t xml:space="preserve">600 000 Kč</t>
  </si>
  <si>
    <t xml:space="preserve">72. výzva – ekologické záťaže</t>
  </si>
  <si>
    <t xml:space="preserve">Mix (obce, firmy, štát)</t>
  </si>
  <si>
    <t xml:space="preserve">1 700 000 000 Kč</t>
  </si>
  <si>
    <t xml:space="preserve">85 %</t>
  </si>
  <si>
    <t xml:space="preserve">Vyžaduje analýzu rizík – špecializované.</t>
  </si>
  <si>
    <t xml:space="preserve">NPO – MŽP</t>
  </si>
  <si>
    <t xml:space="preserve">Renovačný pas budovy a dotačné poradenstvo (výzva 2/2026)</t>
  </si>
  <si>
    <t xml:space="preserve">Poradcovia (evidencia SFŽP)</t>
  </si>
  <si>
    <t xml:space="preserve">200 000 000 Kč</t>
  </si>
  <si>
    <t xml:space="preserve">8 000 Kč</t>
  </si>
  <si>
    <t xml:space="preserve">Dotácia priamo pre poradcov – vyžaduje registráciu v evidencii SFŽP.</t>
  </si>
  <si>
    <t xml:space="preserve">EK – EIC</t>
  </si>
  <si>
    <t xml:space="preserve">HORIZON-EIC-2026-ACCELERATOR-01 – EIC Accelerator</t>
  </si>
  <si>
    <t xml:space="preserve">MSP a startupy (deep-tech, TRL 5+)</t>
  </si>
  <si>
    <t xml:space="preserve">Grant + kapitál</t>
  </si>
  <si>
    <t xml:space="preserve">Vysoká konkurencia, špecializované písanie.</t>
  </si>
  <si>
    <t xml:space="preserve">106. výzva – obnova stability svahov</t>
  </si>
  <si>
    <t xml:space="preserve">Obce, vlastníci, NNO</t>
  </si>
  <si>
    <t xml:space="preserve">100 000 000 Kč</t>
  </si>
  <si>
    <t xml:space="preserve">NPO – MMR a NRB</t>
  </si>
  <si>
    <t xml:space="preserve">Dostupné nájomné bývanie – výzva I</t>
  </si>
  <si>
    <t xml:space="preserve">Obce, developeri (projekty nad 250 mil. Kč)</t>
  </si>
  <si>
    <t xml:space="preserve">Zvýhodnený úver</t>
  </si>
  <si>
    <t xml:space="preserve">2 250 000 000 Kč</t>
  </si>
  <si>
    <t xml:space="preserve">1 200 000 000 Kč</t>
  </si>
  <si>
    <t xml:space="preserve">Veľké projekty.</t>
  </si>
  <si>
    <t xml:space="preserve">IROP (MMR)</t>
  </si>
  <si>
    <t xml:space="preserve">10. výzva eGovernment a kyberbezpečnosť (SC 1.1, VRR = Praha)</t>
  </si>
  <si>
    <t xml:space="preserve">Verejná správa (Praha)</t>
  </si>
  <si>
    <t xml:space="preserve">predĺžené z 28. 5. 2026</t>
  </si>
  <si>
    <t xml:space="preserve">Overiť na irop.gov.cz.</t>
  </si>
  <si>
    <t xml:space="preserve">https://irop.gov.cz/cs/vyzvy-2021-2027</t>
  </si>
  <si>
    <t xml:space="preserve">OP Spravedlivá transformace</t>
  </si>
  <si>
    <t xml:space="preserve">Transformačný úver</t>
  </si>
  <si>
    <t xml:space="preserve">Firmy (Karlovarský, Ústecký, Moravskosliezsky kraj)</t>
  </si>
  <si>
    <t xml:space="preserve">priebežne do konca 2026</t>
  </si>
  <si>
    <t xml:space="preserve">https://opst.cz/aktualizovany-harmonogram-vyzev-opst-zkontrolujte-terminy-nektere-vyzvy-brzy-konci/</t>
  </si>
  <si>
    <t xml:space="preserve">EK – JTM</t>
  </si>
  <si>
    <t xml:space="preserve">JTM-2026-PSLF – úvery pre verejný sektor (2 výzvy)</t>
  </si>
  <si>
    <t xml:space="preserve">Verejný sektor (uhoľné regióny)</t>
  </si>
  <si>
    <t xml:space="preserve">Grant + úver EIB</t>
  </si>
  <si>
    <t xml:space="preserve">€630 mil.</t>
  </si>
  <si>
    <t xml:space="preserve">Priebežné uzávierky; ďalšia 16. 2. 2027</t>
  </si>
  <si>
    <t xml:space="preserve">Pre obce/kraje v regiónoch spravodlivej transformácie.</t>
  </si>
  <si>
    <t xml:space="preserve">HOUSEnerg bytové domy – B: novostavba</t>
  </si>
  <si>
    <t xml:space="preserve">Stavebníci/prví nadobúdatelia BD</t>
  </si>
  <si>
    <t xml:space="preserve">150 000 Kč / byt (fix)</t>
  </si>
  <si>
    <t xml:space="preserve">SZP 2023–2027</t>
  </si>
  <si>
    <t xml:space="preserve">54.78 Podpora poradenstva – a) individuálne poradenstvo (záznam 11. 9. 2026)</t>
  </si>
  <si>
    <t xml:space="preserve">Poradcovia certifikovaní ADVIGREEN</t>
  </si>
  <si>
    <t xml:space="preserve">50 000 Kč</t>
  </si>
  <si>
    <t xml:space="preserve">priebežne</t>
  </si>
  <si>
    <t xml:space="preserve">Dotácia pre poľnohospodárskych poradcov.</t>
  </si>
  <si>
    <t xml:space="preserve">Národní rozvojová banka</t>
  </si>
  <si>
    <t xml:space="preserve">Zvýhodnený úver Energ (Praha)</t>
  </si>
  <si>
    <t xml:space="preserve">Firmy v Prahe</t>
  </si>
  <si>
    <t xml:space="preserve">129 856 463 Kč</t>
  </si>
  <si>
    <t xml:space="preserve">60 000 000 Kč</t>
  </si>
  <si>
    <t xml:space="preserve">Záznam z 2021 – overiť, či beží.</t>
  </si>
  <si>
    <t xml:space="preserve">Podpora poradenstva – a) individuálne poradenstvo (záznam 2023)</t>
  </si>
  <si>
    <t xml:space="preserve">241 015 304 Kč</t>
  </si>
  <si>
    <t xml:space="preserve">priebežne do vyčerpania</t>
  </si>
  <si>
    <t xml:space="preserve">Duplicita k záznamu z 11. 9. 2026 (starší záznam).</t>
  </si>
  <si>
    <t xml:space="preserve">Nová ELENA (EPC projekty)</t>
  </si>
  <si>
    <t xml:space="preserve">Verejný sektor, firmy</t>
  </si>
  <si>
    <t xml:space="preserve">Iné mechanizmy</t>
  </si>
  <si>
    <t xml:space="preserve">90 %</t>
  </si>
  <si>
    <t xml:space="preserve">ENERG (Praha)</t>
  </si>
  <si>
    <t xml:space="preserve">90 000 000 Kč</t>
  </si>
  <si>
    <t xml:space="preserve">54.78 Podpora poradenstva – záměry b)–f)</t>
  </si>
  <si>
    <t xml:space="preserve">Poradcovia, vzdelávacie subjekty, výskum</t>
  </si>
  <si>
    <t xml:space="preserve">€9 994 000 (v zdroji; asi Kč)</t>
  </si>
  <si>
    <t xml:space="preserve">4 800 000 (v zdroji €; asi Kč)</t>
  </si>
  <si>
    <t xml:space="preserve">Mena v zdroji pravdepodobne chybná.</t>
  </si>
  <si>
    <t xml:space="preserve">48. výzva – bežné dobíjacie stanice v obciach</t>
  </si>
  <si>
    <t xml:space="preserve">Vlastníci/správcovia infraštruktúry</t>
  </si>
  <si>
    <t xml:space="preserve">70 000 000 Kč</t>
  </si>
  <si>
    <t xml:space="preserve">vyhlásenie 12/2026, koniec 03/2027</t>
  </si>
  <si>
    <t xml:space="preserve">Min. 20 dobíjacích bodov.</t>
  </si>
  <si>
    <t xml:space="preserve">44. výzva – rýchlodobíjanie osobných áut, prioritné oblasti</t>
  </si>
  <si>
    <t xml:space="preserve">vyhlásenie 08/2026, koniec 11/2026</t>
  </si>
  <si>
    <t xml:space="preserve">45. výzva – bežné dobíjacie stanice v obciach</t>
  </si>
  <si>
    <t xml:space="preserve">150 000 000 Kč</t>
  </si>
  <si>
    <t xml:space="preserve">120. výzva Kybernetická bezpečnost II (NIS2)</t>
  </si>
  <si>
    <t xml:space="preserve">Kraje, ORP, príspevkové organizácie</t>
  </si>
  <si>
    <t xml:space="preserve">50 % (EÚ)</t>
  </si>
  <si>
    <t xml:space="preserve">projekt min. 1 mil. Kč</t>
  </si>
  <si>
    <t xml:space="preserve">príjem od 30. 4. 2026; uzávierku overiť</t>
  </si>
  <si>
    <t xml:space="preserve">Uzávierka nenájdená – overiť.</t>
  </si>
  <si>
    <t xml:space="preserve">https://www.dreport.cz/blog/pripravuje-se-nova-vyzva-irop-pro-kybernetickou-bezpecnost/</t>
  </si>
  <si>
    <t xml:space="preserve">OP TAK / NRB</t>
  </si>
  <si>
    <t xml:space="preserve">Nové úspory energie – bezúročný úver</t>
  </si>
  <si>
    <t xml:space="preserve">Firmy</t>
  </si>
  <si>
    <t xml:space="preserve">príjem obnovený od 5. 8. 2026 (sekundárny zdroj)</t>
  </si>
  <si>
    <t xml:space="preserve">Overiť na nrb.cz – zdroj je sekundárny.</t>
  </si>
  <si>
    <t xml:space="preserve">https://www.energosolar.cz/dotace-fotovoltaika-v-roce-2026/</t>
  </si>
  <si>
    <t xml:space="preserve">EK – EDF</t>
  </si>
  <si>
    <t xml:space="preserve">EDF-2026-LS-RA-CHALLENGE-DIGIT – dialóg človek-AI (2 výzvy)</t>
  </si>
  <si>
    <t xml:space="preserve">Obrana (konzorcium)</t>
  </si>
  <si>
    <t xml:space="preserve">€30 mil.</t>
  </si>
  <si>
    <t xml:space="preserve">€7 mil.</t>
  </si>
  <si>
    <t xml:space="preserve">EDF-2026-DA-ACC – endoatmosférický interceptor</t>
  </si>
  <si>
    <t xml:space="preserve">€100 mil.</t>
  </si>
  <si>
    <t xml:space="preserve">EDF-2026-LS-DA-DIS – OTH radary</t>
  </si>
  <si>
    <t xml:space="preserve">€29 mil.</t>
  </si>
  <si>
    <t xml:space="preserve">EDF-2026-RA – výskumné akcie (7 výziev)</t>
  </si>
  <si>
    <t xml:space="preserve">€110 mil.</t>
  </si>
  <si>
    <t xml:space="preserve">EK – Horizon Europe</t>
  </si>
  <si>
    <t xml:space="preserve">HORIZON-WIDERA-2026-GENDER-Prize – šampióni rodovej rovnosti</t>
  </si>
  <si>
    <t xml:space="preserve">Organizácie s GEP</t>
  </si>
  <si>
    <t xml:space="preserve">Cena</t>
  </si>
  <si>
    <t xml:space="preserve">€400 000</t>
  </si>
  <si>
    <t xml:space="preserve">€100 000</t>
  </si>
  <si>
    <t xml:space="preserve">Ocenenie, nie projekt.</t>
  </si>
  <si>
    <t xml:space="preserve">EDF-2026-DA – vývoj obranných technológií (11 výziev)</t>
  </si>
  <si>
    <t xml:space="preserve">€422 mil.</t>
  </si>
  <si>
    <t xml:space="preserve">EDF-2026-LS-DA-SME – netematické vývojové akcie pre MSP</t>
  </si>
  <si>
    <t xml:space="preserve">Obranné MSP</t>
  </si>
  <si>
    <t xml:space="preserve">HORIZON-CL6-2026-03-GOVERNANCE-01 – Earth Intelligence AI</t>
  </si>
  <si>
    <t xml:space="preserve">Konzorcium EÚ</t>
  </si>
  <si>
    <t xml:space="preserve">€1 mil.</t>
  </si>
  <si>
    <t xml:space="preserve">EK – Digital Europe</t>
  </si>
  <si>
    <t xml:space="preserve">DIGITAL-2026-BESTUSE-RSF-10 – informačné prostredie (2 výzvy)</t>
  </si>
  <si>
    <t xml:space="preserve">€6 mil.</t>
  </si>
  <si>
    <t xml:space="preserve">DIGITAL-2026-SKILLS-10 – pokročilé digitálne zručnosti (3 výzvy)</t>
  </si>
  <si>
    <t xml:space="preserve">Konzorcium (VŠ, firmy)</t>
  </si>
  <si>
    <t xml:space="preserve">€12,5 mil.</t>
  </si>
  <si>
    <t xml:space="preserve">DIGITAL-2026-BESTUSE-10 – centrá bezpečnejšieho internetu (2 výzvy)</t>
  </si>
  <si>
    <t xml:space="preserve">€10 mil.</t>
  </si>
  <si>
    <t xml:space="preserve">EK – PPPA</t>
  </si>
  <si>
    <t xml:space="preserve">PPPA-2026-YOUTH-SOCIAL-MEDIA-DESIGN – sociálna platforma pre mladých</t>
  </si>
  <si>
    <t xml:space="preserve">€1,48 mil.</t>
  </si>
  <si>
    <t xml:space="preserve">EK – CEF</t>
  </si>
  <si>
    <t xml:space="preserve">CEF-T-2026-CORECOEN-RAIL-WORKS – železnice TEN-T</t>
  </si>
  <si>
    <t xml:space="preserve">Infraštruktúra (správcovia, verejné orgány)</t>
  </si>
  <si>
    <t xml:space="preserve">€260 mil.</t>
  </si>
  <si>
    <t xml:space="preserve">CEF-T-2026-COREGEN-RAIL-WORKS – železnice TEN-T</t>
  </si>
  <si>
    <t xml:space="preserve">€350 mil.</t>
  </si>
  <si>
    <t xml:space="preserve">CEF-T-2026-MILMOB-WORKS – civilno-obranné využitie TEN-T</t>
  </si>
  <si>
    <t xml:space="preserve">€130 mil.</t>
  </si>
  <si>
    <t xml:space="preserve">CEF-T-2026-SUSTMOBGEN-EMS-WORKS – námorné a vnútrozemské prístavy</t>
  </si>
  <si>
    <t xml:space="preserve">Prístavy, prevádzkovatelia plavidiel</t>
  </si>
  <si>
    <t xml:space="preserve">€200 mil.</t>
  </si>
  <si>
    <t xml:space="preserve">€5 mil.</t>
  </si>
  <si>
    <t xml:space="preserve">CEF-T-2026-COREGEN-IWWP-WORKS – vnútrozemské vodné cesty</t>
  </si>
  <si>
    <t xml:space="preserve">CEF-T-2026-SIMOBGEN-NEWTECH-WORKS – digitalizácia cestnej dopravy</t>
  </si>
  <si>
    <t xml:space="preserve">€20 mil.</t>
  </si>
  <si>
    <t xml:space="preserve">HORIZON-MISS-2026-04 (3 výzvy)</t>
  </si>
  <si>
    <t xml:space="preserve">€85,5 mil.</t>
  </si>
  <si>
    <t xml:space="preserve">Názov v zdroji hovorí o stavebníctve, popis o pôde – overiť.</t>
  </si>
  <si>
    <t xml:space="preserve">Clean Energy Transition (CET) – Call 2026</t>
  </si>
  <si>
    <t xml:space="preserve">Firmy + výskum (medzinár. konzorcium)</t>
  </si>
  <si>
    <t xml:space="preserve">€1,2 mil.</t>
  </si>
  <si>
    <t xml:space="preserve">€250 000</t>
  </si>
  <si>
    <t xml:space="preserve">Min. 3 partneri z 3 krajín; 13 dní do uzávierky.</t>
  </si>
  <si>
    <t xml:space="preserve">PPPA-2026-REGIONAL-SUBMARINE-ISM-CABLE-HUBS – podmorské káble</t>
  </si>
  <si>
    <t xml:space="preserve">€3,94 mil.</t>
  </si>
  <si>
    <t xml:space="preserve">HORIZON-CL2-2026-02-TRANSFO-01 – partnerstvo sociálne transformácie</t>
  </si>
  <si>
    <t xml:space="preserve">Poskytovatelia financovania výskumu</t>
  </si>
  <si>
    <t xml:space="preserve">€60 mil.</t>
  </si>
  <si>
    <t xml:space="preserve">EK – SMP</t>
  </si>
  <si>
    <t xml:space="preserve">SMP-FOOD-2026-FW-STAKEHOLDERS-PJ – potravinový odpad</t>
  </si>
  <si>
    <t xml:space="preserve">Organizácie/konzorciá</t>
  </si>
  <si>
    <t xml:space="preserve">EK – JUST</t>
  </si>
  <si>
    <t xml:space="preserve">JUST-2027-JACC-EJUSTICE – e-Justice, práva obetí (2 výzvy)</t>
  </si>
  <si>
    <t xml:space="preserve">€9,4 mil.</t>
  </si>
  <si>
    <t xml:space="preserve">HORIZON-EIC-2026-DEFENCE-01 – STEP Scale Up, obrana</t>
  </si>
  <si>
    <t xml:space="preserve">Obranné MSP / small mid-caps</t>
  </si>
  <si>
    <t xml:space="preserve">HORIZON-CL3-2026-01 – bezpečnosť pre spoločnosť (21 výziev)</t>
  </si>
  <si>
    <t xml:space="preserve">€131 mil.</t>
  </si>
  <si>
    <t xml:space="preserve">Životné prostredie 2027 – I. verejná zeleň</t>
  </si>
  <si>
    <t xml:space="preserve">4 500 000 Kč</t>
  </si>
  <si>
    <t xml:space="preserve">450 000 Kč</t>
  </si>
  <si>
    <t xml:space="preserve">Životné prostredie 2027 – V. špecifické projekty</t>
  </si>
  <si>
    <t xml:space="preserve">2 250 000 Kč</t>
  </si>
  <si>
    <t xml:space="preserve">TA ČR</t>
  </si>
  <si>
    <t xml:space="preserve">Partnerství pro biodiverzitu – Call 2026 (BiodivFuture)</t>
  </si>
  <si>
    <t xml:space="preserve">Výskum + firmy (konzorcium)</t>
  </si>
  <si>
    <t xml:space="preserve">€170 000</t>
  </si>
  <si>
    <t xml:space="preserve">EK – I3</t>
  </si>
  <si>
    <t xml:space="preserve">I3-2026-INV1 – medziregionálne investície do inovácií</t>
  </si>
  <si>
    <t xml:space="preserve">Konzorcium regiónov/firiem</t>
  </si>
  <si>
    <t xml:space="preserve">€28,2 mil.</t>
  </si>
  <si>
    <t xml:space="preserve">I3-2026-INV2a – medziregionálne investície do inovácií</t>
  </si>
  <si>
    <t xml:space="preserve">€30,2 mil.</t>
  </si>
  <si>
    <t xml:space="preserve">EK – SOCPL</t>
  </si>
  <si>
    <t xml:space="preserve">SOCPL-2026-INFO-REPR – zastúpenie zamestnancov</t>
  </si>
  <si>
    <t xml:space="preserve">Odbory, zamestnávatelia</t>
  </si>
  <si>
    <t xml:space="preserve">€2,5 mil.</t>
  </si>
  <si>
    <t xml:space="preserve">€350 000</t>
  </si>
  <si>
    <t xml:space="preserve">HORIZON-RAISE-2026-01-03 – doktorandské siete AI vo vede</t>
  </si>
  <si>
    <t xml:space="preserve">Konzorcium (výskum)</t>
  </si>
  <si>
    <t xml:space="preserve">HORIZON-EIC-2026-STEP – kapitál pre tech scale-upy</t>
  </si>
  <si>
    <t xml:space="preserve">Deep-tech MSP</t>
  </si>
  <si>
    <t xml:space="preserve">Kapitálový vstup</t>
  </si>
  <si>
    <t xml:space="preserve">€300 mil.</t>
  </si>
  <si>
    <t xml:space="preserve">Len equity, kolá 50–150 mil. €.</t>
  </si>
  <si>
    <t xml:space="preserve">EK – ISF</t>
  </si>
  <si>
    <t xml:space="preserve">ISF-2026-TF2-AG-CYBER – digitálne vyšetrovanie (2 výzvy)</t>
  </si>
  <si>
    <t xml:space="preserve">Konzorcium EÚ (min. 2 štáty)</t>
  </si>
  <si>
    <t xml:space="preserve">€6,2 mil.</t>
  </si>
  <si>
    <t xml:space="preserve">Polícia/justícia, medzinárodné konzorcium.</t>
  </si>
  <si>
    <t xml:space="preserve">MZe ČR</t>
  </si>
  <si>
    <t xml:space="preserve">9.A.c Špeciálne poradenstvo – hydina, genomika</t>
  </si>
  <si>
    <t xml:space="preserve">Výskumné organizácie</t>
  </si>
  <si>
    <t xml:space="preserve">DIGITAL-ECCC-2027-DEPLOY-CYBER-11 – kyberbezpečnosť (7 výziev)</t>
  </si>
  <si>
    <t xml:space="preserve">Konzorciá, firmy vrátane MSP</t>
  </si>
  <si>
    <t xml:space="preserve">€96 mil.</t>
  </si>
  <si>
    <t xml:space="preserve">Jedna téma: AI-bezpečné riešenia v MSP.</t>
  </si>
  <si>
    <t xml:space="preserve">EK – EuroHPC</t>
  </si>
  <si>
    <t xml:space="preserve">HORIZON-JU-EUROHPC-2026-NGC-04-01 – kvantové senzory</t>
  </si>
  <si>
    <t xml:space="preserve">€2 mil.</t>
  </si>
  <si>
    <t xml:space="preserve">€500 000</t>
  </si>
  <si>
    <t xml:space="preserve">HORIZON-JU-EUROHPC-2026-STAND-05-01 – štandardy kvantových technológií</t>
  </si>
  <si>
    <t xml:space="preserve">10 000 000 Kč (v zdroji; asi €)</t>
  </si>
  <si>
    <t xml:space="preserve">10 000 000 Kč (v zdroji)</t>
  </si>
  <si>
    <t xml:space="preserve">HORIZON-JU-EUROHPC-2026-PQC-06-01 – fotonické kvantové počítače</t>
  </si>
  <si>
    <t xml:space="preserve">Konzorcium vedené startupom</t>
  </si>
  <si>
    <t xml:space="preserve">HORIZON-CL4-2027-01-MAT-PROD-16 – spracovanie surovín (10 výziev)</t>
  </si>
  <si>
    <t xml:space="preserve">€49 mil.</t>
  </si>
  <si>
    <t xml:space="preserve">Pilotné prevádzky, výskumné konzorciá.</t>
  </si>
  <si>
    <t xml:space="preserve">HORIZON-WIDERA-2027-04-WIDENING-01 – centrá excelencie</t>
  </si>
  <si>
    <t xml:space="preserve">€4,5 mil.</t>
  </si>
  <si>
    <t xml:space="preserve">HORIZON-CL5-2027-01 – klíma (7 výziev)</t>
  </si>
  <si>
    <t xml:space="preserve">€18 mil.</t>
  </si>
  <si>
    <t xml:space="preserve">HORIZON-WIDERA-2027-05 – európsky výskumný systém (5 výziev)</t>
  </si>
  <si>
    <t xml:space="preserve">€42 mil.</t>
  </si>
  <si>
    <t xml:space="preserve">€3 mil.</t>
  </si>
  <si>
    <t xml:space="preserve">HORIZON-CL5-2027-02 – batérie a energetika (10 výziev)</t>
  </si>
  <si>
    <t xml:space="preserve">€18,8 mil.</t>
  </si>
  <si>
    <t xml:space="preserve">TRANSGov 1/2024 (2. kolo) – osobná železničná doprava</t>
  </si>
  <si>
    <t xml:space="preserve">Dopravcovia v osobnej železničnej doprave</t>
  </si>
  <si>
    <t xml:space="preserve">15 000 000 000 Kč</t>
  </si>
  <si>
    <t xml:space="preserve">príjem od 1. 12. 2025</t>
  </si>
  <si>
    <t xml:space="preserve">Veľmi úzky okruh žiadateľov.</t>
  </si>
  <si>
    <t xml:space="preserve">9.E Školské závody</t>
  </si>
  <si>
    <t xml:space="preserve">Podniky so štatútom Školní závod</t>
  </si>
  <si>
    <t xml:space="preserve">60 %</t>
  </si>
  <si>
    <t xml:space="preserve">500 000 Kč</t>
  </si>
  <si>
    <t xml:space="preserve">9.A.b Špeciálne poradenstvo – rastlinná výroba 2027</t>
  </si>
  <si>
    <t xml:space="preserve">Pestovateľské zväzy, vystavovatelia</t>
  </si>
  <si>
    <t xml:space="preserve">EK – EDF/EDIP</t>
  </si>
  <si>
    <t xml:space="preserve">EDF-EDIP-P-2026-2027-FNLC-SA-SEAP – pohotovostné kapacity</t>
  </si>
  <si>
    <t xml:space="preserve">Obranný priemysel</t>
  </si>
  <si>
    <t xml:space="preserve">SFŽP ČR</t>
  </si>
  <si>
    <t xml:space="preserve">Kompenzácia zvýhodnených úverov NZÚ – 1/2026/NZÚ FN</t>
  </si>
  <si>
    <t xml:space="preserve">Banky</t>
  </si>
  <si>
    <t xml:space="preserve">50 000 000 000 Kč</t>
  </si>
  <si>
    <t xml:space="preserve">Žiadajú len banky; klient (SVJ, RD) z toho má úver k HOUSEnerg.</t>
  </si>
  <si>
    <t xml:space="preserve">Nadace ČEZ</t>
  </si>
  <si>
    <t xml:space="preserve">Podpora regiónov</t>
  </si>
  <si>
    <t xml:space="preserve">NNO a iné právnické osoby</t>
  </si>
  <si>
    <t xml:space="preserve">priebežne (kolo od 1. 1. 2026)</t>
  </si>
  <si>
    <t xml:space="preserve">Nadace Vinci</t>
  </si>
  <si>
    <t xml:space="preserve">Podpora občianskych iniciatív</t>
  </si>
  <si>
    <t xml:space="preserve">NNO</t>
  </si>
  <si>
    <t xml:space="preserve">NF Neuron</t>
  </si>
  <si>
    <t xml:space="preserve">Fond na podporu vedy</t>
  </si>
  <si>
    <t xml:space="preserve">Vedci</t>
  </si>
  <si>
    <t xml:space="preserve">Grant/cena</t>
  </si>
  <si>
    <t xml:space="preserve">1 500 000 Kč</t>
  </si>
  <si>
    <t xml:space="preserve">Nadace Leoše Janáčka</t>
  </si>
  <si>
    <t xml:space="preserve">Hudobná publicistika</t>
  </si>
  <si>
    <t xml:space="preserve">Periodiká</t>
  </si>
  <si>
    <t xml:space="preserve">300 000 Kč</t>
  </si>
  <si>
    <t xml:space="preserve">uzávierky 15. 2. a 30. 9.</t>
  </si>
  <si>
    <t xml:space="preserve">Nadace Vodafone</t>
  </si>
  <si>
    <t xml:space="preserve">Grantový program Laboratoř</t>
  </si>
  <si>
    <t xml:space="preserve">Startupy, NNO, sociálne podniky</t>
  </si>
  <si>
    <t xml:space="preserve">Nadace ČHF</t>
  </si>
  <si>
    <t xml:space="preserve">Kruh priateľov hudby</t>
  </si>
  <si>
    <t xml:space="preserve">Organizátori koncertov</t>
  </si>
  <si>
    <t xml:space="preserve">uzávierky 30. 9. a 20. 11.</t>
  </si>
  <si>
    <t xml:space="preserve">Príspevky vlastníkom poľovných psov a dravcov</t>
  </si>
  <si>
    <t xml:space="preserve">Užívatelia honitieb</t>
  </si>
  <si>
    <t xml:space="preserve">priebežne (do 31. 8. za obdobie)</t>
  </si>
  <si>
    <t xml:space="preserve">Visegrádský fond</t>
  </si>
  <si>
    <t xml:space="preserve">Štandardné granty</t>
  </si>
  <si>
    <t xml:space="preserve">Mix (partneri z V4)</t>
  </si>
  <si>
    <t xml:space="preserve">uzávierky 1. 2. / 1. 6. / 1. 10.</t>
  </si>
  <si>
    <t xml:space="preserve">Najbližšia uzávierka 1. 10. 2026.</t>
  </si>
  <si>
    <t xml:space="preserve">NF nezávislé žurnalistiky</t>
  </si>
  <si>
    <t xml:space="preserve">Rozvojový grant</t>
  </si>
  <si>
    <t xml:space="preserve">Redakcie (predchádzajúci príjemcovia)</t>
  </si>
  <si>
    <t xml:space="preserve">Visegrad + západný Balkán</t>
  </si>
  <si>
    <t xml:space="preserve">Mix (V4 + WB/EaP)</t>
  </si>
  <si>
    <t xml:space="preserve">CzechInvest</t>
  </si>
  <si>
    <t xml:space="preserve">ESA BIC Czech Republic</t>
  </si>
  <si>
    <t xml:space="preserve">Space startupy</t>
  </si>
  <si>
    <t xml:space="preserve">€200 000</t>
  </si>
  <si>
    <t xml:space="preserve">Strategické projekty</t>
  </si>
  <si>
    <t xml:space="preserve">Mix (všetky štáty V4)</t>
  </si>
  <si>
    <t xml:space="preserve">HORIZON-JU-CBE-2026 – oběhová bio Evropa (13 výziev)</t>
  </si>
  <si>
    <t xml:space="preserve">€170,76 mil.</t>
  </si>
  <si>
    <t xml:space="preserve">HORIZON-CL2-2026-01-TRANSFO-05 – základné zručnosti</t>
  </si>
  <si>
    <t xml:space="preserve">€12 mil.</t>
  </si>
  <si>
    <t xml:space="preserve">€4 mil.</t>
  </si>
  <si>
    <t xml:space="preserve">ESPON 2030</t>
  </si>
  <si>
    <t xml:space="preserve">[COSMO-VIII] Štúdia Kyustendil–Kriva Palanka</t>
  </si>
  <si>
    <t xml:space="preserve">Konzultačné firmy (tender)</t>
  </si>
  <si>
    <t xml:space="preserve">Verejná zákazka</t>
  </si>
  <si>
    <t xml:space="preserve">€220 000</t>
  </si>
  <si>
    <t xml:space="preserve">Tender na štúdiu, nie dotácia.</t>
  </si>
  <si>
    <t xml:space="preserve">[CICERO] Krízové inovácie a regionálna konkurencieschopnosť</t>
  </si>
  <si>
    <t xml:space="preserve">€800 000</t>
  </si>
  <si>
    <t xml:space="preserve">HORIZON-CL2-2026-01-HERITAGE-02 – kreatívne startupy</t>
  </si>
  <si>
    <t xml:space="preserve">HORIZON-CL2-2026-01 – kultúra, kreativita (26 výziev)</t>
  </si>
  <si>
    <t xml:space="preserve">100 % (v zdroji 101 %)</t>
  </si>
  <si>
    <t xml:space="preserve">EK – ESF+</t>
  </si>
  <si>
    <t xml:space="preserve">ESF-2026-AG-TCS – transakčné náklady sociálneho financovania</t>
  </si>
  <si>
    <t xml:space="preserve">Finanční sprostredkovatelia</t>
  </si>
  <si>
    <t xml:space="preserve">€4,7 mil.</t>
  </si>
  <si>
    <t xml:space="preserve">HORIZON-WIDERA-2026-04-WIDENING-01 – riadenie výskumu</t>
  </si>
  <si>
    <t xml:space="preserve">Konzorcium (min. 3 krajiny)</t>
  </si>
  <si>
    <t xml:space="preserve">HORIZON-WIDERA-2026-03-WIDENING-01 – Hop On Facility</t>
  </si>
  <si>
    <t xml:space="preserve">€600 000</t>
  </si>
  <si>
    <t xml:space="preserve">ISF-2026-TF2-AG-CORRUPT – boj proti korupcii</t>
  </si>
  <si>
    <t xml:space="preserve">HORIZON-WIDERA-2026-01-WIDENING-01 – synergie Teaming</t>
  </si>
  <si>
    <t xml:space="preserve">Čo je v zošite</t>
  </si>
  <si>
    <t xml:space="preserve">Výzvy</t>
  </si>
  <si>
    <t xml:space="preserve">116 výziev: 105 z tvojho zoznamu + 11 doplnkov z webu, ktoré v zozname chýbali. Zoradené: najprv tie, na ktoré sa dá podať, podľa relevancie a uzávierky; stĺpec ID = poradie v zdroji.</t>
  </si>
  <si>
    <t xml:space="preserve">„Tvoj zoznam“ = údaje prevzaté z tvojho zoznamu (neoverené proti poskytovateľom). „Doplnok (web)“ = nájdené vyhľadávaním 25. 9. 2026; odkaz v stĺpci Overenie.</t>
  </si>
  <si>
    <t xml:space="preserve">Vzorec z Uzávierky a dátumu v Súhrn!B3: Po uzávierke / Končí do 14 dní / Otvorená; bez dátumu sa preberá Status v zdroji (Priebežná, Očakávaná).</t>
  </si>
  <si>
    <t xml:space="preserve">Relevancia</t>
  </si>
  <si>
    <t xml:space="preserve">Môj odhad pre komerčné grantové poradenstvo v ČR: Vysoká = široký okruh klientov, rozumný termín a objem; Nízka = medzinárodné konzorciá, obrana, infraštruktúra, tendre, nadácie s malými sumami. Dá sa prepísať (rozbaľovací zoznam).</t>
  </si>
  <si>
    <t xml:space="preserve">Sumy</t>
  </si>
  <si>
    <t xml:space="preserve">Alokácia a max. dotácia sú text tak, ako v zdroji (Kč aj €); kde mena v zdroji vyzerá chybne, je to v poznámke.</t>
  </si>
  <si>
    <t xml:space="preserve">Upozornenia</t>
  </si>
  <si>
    <t xml:space="preserve">Stránka optak.gov.cz bola z prostredia nedostupná; doplnky OP TAK, IROP, NRB a SZIF sú z výsledkov vyhľadávania – pred ponukou klientovi overiť u poskytovateľa.</t>
  </si>
  <si>
    <t xml:space="preserve">Nepridané (už uzavreté)</t>
  </si>
  <si>
    <t xml:space="preserve">OP TAK Digitální podnik I (18. 2. 2026) a II (17. 4. 2026), Inovace IV (20. 2. 2026), Potenciál III (17. 2. 2026), NRB Expanze (pozastavené od 10. 8. 2026), EDIH II (25. 5. 2026), TA ČR TREND podprogram 2 (v 2026 sa nevyhlási).</t>
  </si>
  <si>
    <t xml:space="preserve">Sledovať</t>
  </si>
  <si>
    <t xml:space="preserve">Nová výzva OP TAK Úspory energie (plánovaná na 2026, termín neznámy); ďalšie kolo Digitální podnik (pre ERP/Odoo najdôležitejšie) – nenašiel som.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</si>
</sst>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&quot;. &quot;m&quot;. &quot;yyyy"/>
    <numFmt numFmtId="166" formatCode="General"/>
    <numFmt numFmtId="167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DDEBF7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ont>
        <name val="Arial"/>
        <charset val="1"/>
        <family val="0"/>
        <color rgb="FF7F7F7F"/>
      </font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  <dxf>
      <font>
        <name val="Arial"/>
        <charset val="1"/>
        <family val="0"/>
        <b val="1"/>
        <color rgb="FF006100"/>
      </font>
    </dxf>
    <dxf>
      <font>
        <name val="Arial"/>
        <charset val="1"/>
        <family val="0"/>
        <color rgb="FFA6A6A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businessinfo.cz/clanky/kraj-vysocina-vyhlasil-podnikatelske-vouchery-2026/" TargetMode="External"/><Relationship Id="rId2" Type="http://schemas.openxmlformats.org/officeDocument/2006/relationships/hyperlink" Target="https://sfzp.gov.cz/dotace-a-pujcky/modernizacni-fond/vyzvy/" TargetMode="External"/><Relationship Id="rId3" Type="http://schemas.openxmlformats.org/officeDocument/2006/relationships/hyperlink" Target="https://sfzp.gov.cz/dotace-a-pujcky/modernizacni-fond/vyzvy/" TargetMode="External"/><Relationship Id="rId4" Type="http://schemas.openxmlformats.org/officeDocument/2006/relationships/hyperlink" Target="https://www.businessinfo.cz/clanky/op-tak-vyhlaseni-vyzvy-ii-technologie-pro-mas-clld/" TargetMode="External"/><Relationship Id="rId5" Type="http://schemas.openxmlformats.org/officeDocument/2006/relationships/hyperlink" Target="https://agro-svet.cz/dotace/kalendar-kol/" TargetMode="External"/><Relationship Id="rId6" Type="http://schemas.openxmlformats.org/officeDocument/2006/relationships/hyperlink" Target="https://sfzp.gov.cz/dotace-a-pujcky/modernizacni-fond/vyzvy/" TargetMode="External"/><Relationship Id="rId7" Type="http://schemas.openxmlformats.org/officeDocument/2006/relationships/hyperlink" Target="https://irop.gov.cz/cs/vyzvy-2021-2027" TargetMode="External"/><Relationship Id="rId8" Type="http://schemas.openxmlformats.org/officeDocument/2006/relationships/hyperlink" Target="https://opst.cz/aktualizovany-harmonogram-vyzev-opst-zkontrolujte-terminy-nektere-vyzvy-brzy-konci/" TargetMode="External"/><Relationship Id="rId9" Type="http://schemas.openxmlformats.org/officeDocument/2006/relationships/hyperlink" Target="https://www.dreport.cz/blog/pripravuje-se-nova-vyzva-irop-pro-kybernetickou-bezpecnost/" TargetMode="External"/><Relationship Id="rId10" Type="http://schemas.openxmlformats.org/officeDocument/2006/relationships/hyperlink" Target="https://www.energosolar.cz/dotace-fotovoltaika-v-roce-2026/" TargetMode="External"/><Relationship Id="rId11" Type="http://schemas.openxmlformats.org/officeDocument/2006/relationships/hyperlink" Target="https://sfzp.gov.cz/dotace-a-pujcky/modernizacni-fond/vyzvy/" TargetMode="External"/><Relationship Id="rId1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46290</v>
      </c>
    </row>
    <row r="5" customFormat="false" ht="15" hidden="false" customHeight="fals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</row>
    <row r="6" customFormat="false" ht="15" hidden="false" customHeight="false" outlineLevel="0" collapsed="false">
      <c r="A6" s="5" t="s">
        <v>7</v>
      </c>
      <c r="B6" s="6" t="n">
        <f aca="false">COUNTIFS(Výzvy!$N$2:$N$117,$A6,Výzvy!$P$2:$P$117,B$5)</f>
        <v>0</v>
      </c>
      <c r="C6" s="6" t="n">
        <f aca="false">COUNTIFS(Výzvy!$N$2:$N$117,$A6,Výzvy!$P$2:$P$117,C$5)</f>
        <v>0</v>
      </c>
      <c r="D6" s="6" t="n">
        <f aca="false">COUNTIFS(Výzvy!$N$2:$N$117,$A6,Výzvy!$P$2:$P$117,D$5)</f>
        <v>11</v>
      </c>
      <c r="E6" s="6" t="n">
        <f aca="false">SUM(B6:D6)</f>
        <v>11</v>
      </c>
    </row>
    <row r="7" customFormat="false" ht="15" hidden="false" customHeight="false" outlineLevel="0" collapsed="false">
      <c r="A7" s="5" t="s">
        <v>8</v>
      </c>
      <c r="B7" s="6" t="n">
        <f aca="false">COUNTIFS(Výzvy!$N$2:$N$117,$A7,Výzvy!$P$2:$P$117,B$5)</f>
        <v>1</v>
      </c>
      <c r="C7" s="6" t="n">
        <f aca="false">COUNTIFS(Výzvy!$N$2:$N$117,$A7,Výzvy!$P$2:$P$117,C$5)</f>
        <v>1</v>
      </c>
      <c r="D7" s="6" t="n">
        <f aca="false">COUNTIFS(Výzvy!$N$2:$N$117,$A7,Výzvy!$P$2:$P$117,D$5)</f>
        <v>21</v>
      </c>
      <c r="E7" s="6" t="n">
        <f aca="false">SUM(B7:D7)</f>
        <v>23</v>
      </c>
    </row>
    <row r="8" customFormat="false" ht="15" hidden="false" customHeight="false" outlineLevel="0" collapsed="false">
      <c r="A8" s="5" t="s">
        <v>9</v>
      </c>
      <c r="B8" s="6" t="n">
        <f aca="false">COUNTIFS(Výzvy!$N$2:$N$117,$A8,Výzvy!$P$2:$P$117,B$5)</f>
        <v>13</v>
      </c>
      <c r="C8" s="6" t="n">
        <f aca="false">COUNTIFS(Výzvy!$N$2:$N$117,$A8,Výzvy!$P$2:$P$117,C$5)</f>
        <v>14</v>
      </c>
      <c r="D8" s="6" t="n">
        <f aca="false">COUNTIFS(Výzvy!$N$2:$N$117,$A8,Výzvy!$P$2:$P$117,D$5)</f>
        <v>23</v>
      </c>
      <c r="E8" s="6" t="n">
        <f aca="false">SUM(B8:D8)</f>
        <v>50</v>
      </c>
    </row>
    <row r="9" customFormat="false" ht="15" hidden="false" customHeight="false" outlineLevel="0" collapsed="false">
      <c r="A9" s="5" t="s">
        <v>10</v>
      </c>
      <c r="B9" s="6" t="n">
        <f aca="false">COUNTIFS(Výzvy!$N$2:$N$117,$A9,Výzvy!$P$2:$P$117,B$5)</f>
        <v>3</v>
      </c>
      <c r="C9" s="6" t="n">
        <f aca="false">COUNTIFS(Výzvy!$N$2:$N$117,$A9,Výzvy!$P$2:$P$117,C$5)</f>
        <v>6</v>
      </c>
      <c r="D9" s="6" t="n">
        <f aca="false">COUNTIFS(Výzvy!$N$2:$N$117,$A9,Výzvy!$P$2:$P$117,D$5)</f>
        <v>6</v>
      </c>
      <c r="E9" s="6" t="n">
        <f aca="false">SUM(B9:D9)</f>
        <v>15</v>
      </c>
    </row>
    <row r="10" customFormat="false" ht="15" hidden="false" customHeight="false" outlineLevel="0" collapsed="false">
      <c r="A10" s="5" t="s">
        <v>11</v>
      </c>
      <c r="B10" s="6" t="n">
        <f aca="false">COUNTIFS(Výzvy!$N$2:$N$117,$A10,Výzvy!$P$2:$P$117,B$5)</f>
        <v>0</v>
      </c>
      <c r="C10" s="6" t="n">
        <f aca="false">COUNTIFS(Výzvy!$N$2:$N$117,$A10,Výzvy!$P$2:$P$117,C$5)</f>
        <v>5</v>
      </c>
      <c r="D10" s="6" t="n">
        <f aca="false">COUNTIFS(Výzvy!$N$2:$N$117,$A10,Výzvy!$P$2:$P$117,D$5)</f>
        <v>12</v>
      </c>
      <c r="E10" s="6" t="n">
        <f aca="false">SUM(B10:D10)</f>
        <v>17</v>
      </c>
    </row>
    <row r="11" customFormat="false" ht="15" hidden="false" customHeight="false" outlineLevel="0" collapsed="false">
      <c r="A11" s="5" t="s">
        <v>6</v>
      </c>
      <c r="B11" s="6" t="n">
        <f aca="false">SUM(B6:B10)</f>
        <v>17</v>
      </c>
      <c r="C11" s="6" t="n">
        <f aca="false">SUM(C6:C10)</f>
        <v>26</v>
      </c>
      <c r="D11" s="6" t="n">
        <f aca="false">SUM(D6:D10)</f>
        <v>73</v>
      </c>
      <c r="E11" s="6" t="n">
        <f aca="false">SUM(B11:D11)</f>
        <v>116</v>
      </c>
    </row>
    <row r="13" customFormat="false" ht="15" hidden="false" customHeight="false" outlineLevel="0" collapsed="false">
      <c r="A13" s="4" t="s">
        <v>12</v>
      </c>
      <c r="B13" s="4" t="s">
        <v>7</v>
      </c>
      <c r="C13" s="4" t="s">
        <v>8</v>
      </c>
      <c r="D13" s="4" t="s">
        <v>9</v>
      </c>
      <c r="E13" s="4" t="s">
        <v>10</v>
      </c>
      <c r="F13" s="4" t="s">
        <v>11</v>
      </c>
      <c r="G13" s="4" t="s">
        <v>6</v>
      </c>
    </row>
    <row r="14" customFormat="false" ht="15" hidden="false" customHeight="false" outlineLevel="0" collapsed="false">
      <c r="A14" s="5" t="s">
        <v>13</v>
      </c>
      <c r="B14" s="6" t="n">
        <f aca="false">COUNTIFS(Výzvy!$B$2:$B$117,$A14,Výzvy!$N$2:$N$117,B$13)</f>
        <v>11</v>
      </c>
      <c r="C14" s="6" t="n">
        <f aca="false">COUNTIFS(Výzvy!$B$2:$B$117,$A14,Výzvy!$N$2:$N$117,C$13)</f>
        <v>23</v>
      </c>
      <c r="D14" s="6" t="n">
        <f aca="false">COUNTIFS(Výzvy!$B$2:$B$117,$A14,Výzvy!$N$2:$N$117,D$13)</f>
        <v>40</v>
      </c>
      <c r="E14" s="6" t="n">
        <f aca="false">COUNTIFS(Výzvy!$B$2:$B$117,$A14,Výzvy!$N$2:$N$117,E$13)</f>
        <v>14</v>
      </c>
      <c r="F14" s="6" t="n">
        <f aca="false">COUNTIFS(Výzvy!$B$2:$B$117,$A14,Výzvy!$N$2:$N$117,F$13)</f>
        <v>17</v>
      </c>
      <c r="G14" s="6" t="n">
        <f aca="false">SUM(B14:F14)</f>
        <v>105</v>
      </c>
    </row>
    <row r="15" customFormat="false" ht="15" hidden="false" customHeight="false" outlineLevel="0" collapsed="false">
      <c r="A15" s="5" t="s">
        <v>14</v>
      </c>
      <c r="B15" s="6" t="n">
        <f aca="false">COUNTIFS(Výzvy!$B$2:$B$117,$A15,Výzvy!$N$2:$N$117,B$13)</f>
        <v>0</v>
      </c>
      <c r="C15" s="6" t="n">
        <f aca="false">COUNTIFS(Výzvy!$B$2:$B$117,$A15,Výzvy!$N$2:$N$117,C$13)</f>
        <v>0</v>
      </c>
      <c r="D15" s="6" t="n">
        <f aca="false">COUNTIFS(Výzvy!$B$2:$B$117,$A15,Výzvy!$N$2:$N$117,D$13)</f>
        <v>10</v>
      </c>
      <c r="E15" s="6" t="n">
        <f aca="false">COUNTIFS(Výzvy!$B$2:$B$117,$A15,Výzvy!$N$2:$N$117,E$13)</f>
        <v>1</v>
      </c>
      <c r="F15" s="6" t="n">
        <f aca="false">COUNTIFS(Výzvy!$B$2:$B$117,$A15,Výzvy!$N$2:$N$117,F$13)</f>
        <v>0</v>
      </c>
      <c r="G15" s="6" t="n">
        <f aca="false">SUM(B15:F15)</f>
        <v>11</v>
      </c>
    </row>
    <row r="16" customFormat="false" ht="15" hidden="false" customHeight="false" outlineLevel="0" collapsed="false">
      <c r="A16" s="5" t="s">
        <v>6</v>
      </c>
      <c r="B16" s="6" t="n">
        <f aca="false">SUM(B14:B15)</f>
        <v>11</v>
      </c>
      <c r="C16" s="6" t="n">
        <f aca="false">SUM(C14:C15)</f>
        <v>23</v>
      </c>
      <c r="D16" s="6" t="n">
        <f aca="false">SUM(D14:D15)</f>
        <v>50</v>
      </c>
      <c r="E16" s="6" t="n">
        <f aca="false">SUM(E14:E15)</f>
        <v>15</v>
      </c>
      <c r="F16" s="6" t="n">
        <f aca="false">SUM(F14:F15)</f>
        <v>17</v>
      </c>
      <c r="G16" s="6" t="n">
        <f aca="false">SUM(B16:F16)</f>
        <v>116</v>
      </c>
    </row>
    <row r="18" customFormat="false" ht="15" hidden="false" customHeight="false" outlineLevel="0" collapsed="false">
      <c r="A18" s="7" t="s">
        <v>15</v>
      </c>
    </row>
    <row r="19" customFormat="false" ht="15" hidden="false" customHeight="false" outlineLevel="0" collapsed="false">
      <c r="A19" s="5" t="s">
        <v>16</v>
      </c>
      <c r="B19" s="6" t="n">
        <f aca="false">COUNTIFS(Výzvy!$P$2:$P$117,"Vysoká",Výzvy!$N$2:$N$117,"&lt;&gt;Po uzávierke")</f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48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11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30"/>
    <col collapsed="false" customWidth="true" hidden="false" outlineLevel="0" max="13" min="13" style="0" width="13"/>
    <col collapsed="false" customWidth="true" hidden="false" outlineLevel="0" max="14" min="14" style="0" width="17"/>
    <col collapsed="false" customWidth="true" hidden="false" outlineLevel="0" max="15" min="15" style="0" width="11"/>
    <col collapsed="false" customWidth="true" hidden="false" outlineLevel="0" max="16" min="16" style="0" width="14"/>
    <col collapsed="false" customWidth="true" hidden="false" outlineLevel="0" max="17" min="17" style="0" width="44"/>
    <col collapsed="false" customWidth="true" hidden="false" outlineLevel="0" max="18" min="18" style="0" width="30"/>
  </cols>
  <sheetData>
    <row r="1" customFormat="false" ht="31.5" hidden="false" customHeight="true" outlineLevel="0" collapsed="false">
      <c r="A1" s="8" t="s">
        <v>17</v>
      </c>
      <c r="B1" s="8" t="s">
        <v>18</v>
      </c>
      <c r="C1" s="8" t="s">
        <v>19</v>
      </c>
      <c r="D1" s="8" t="s">
        <v>20</v>
      </c>
      <c r="E1" s="8" t="s">
        <v>21</v>
      </c>
      <c r="F1" s="8" t="s">
        <v>22</v>
      </c>
      <c r="G1" s="8" t="s">
        <v>23</v>
      </c>
      <c r="H1" s="8" t="s">
        <v>24</v>
      </c>
      <c r="I1" s="8" t="s">
        <v>25</v>
      </c>
      <c r="J1" s="8" t="s">
        <v>26</v>
      </c>
      <c r="K1" s="8" t="s">
        <v>27</v>
      </c>
      <c r="L1" s="8" t="s">
        <v>28</v>
      </c>
      <c r="M1" s="8" t="s">
        <v>29</v>
      </c>
      <c r="N1" s="8" t="s">
        <v>30</v>
      </c>
      <c r="O1" s="8" t="s">
        <v>31</v>
      </c>
      <c r="P1" s="8" t="s">
        <v>32</v>
      </c>
      <c r="Q1" s="8" t="s">
        <v>33</v>
      </c>
      <c r="R1" s="8" t="s">
        <v>34</v>
      </c>
    </row>
    <row r="2" customFormat="false" ht="23.85" hidden="false" customHeight="false" outlineLevel="0" collapsed="false">
      <c r="A2" s="9" t="n">
        <v>18</v>
      </c>
      <c r="B2" s="9" t="s">
        <v>13</v>
      </c>
      <c r="C2" s="9" t="s">
        <v>35</v>
      </c>
      <c r="D2" s="9" t="s">
        <v>36</v>
      </c>
      <c r="E2" s="9" t="s">
        <v>37</v>
      </c>
      <c r="F2" s="9" t="s">
        <v>38</v>
      </c>
      <c r="G2" s="9" t="s">
        <v>39</v>
      </c>
      <c r="H2" s="9" t="s">
        <v>40</v>
      </c>
      <c r="I2" s="9" t="s">
        <v>41</v>
      </c>
      <c r="J2" s="9" t="s">
        <v>42</v>
      </c>
      <c r="K2" s="10" t="n">
        <v>46290</v>
      </c>
      <c r="L2" s="9"/>
      <c r="M2" s="9" t="s">
        <v>9</v>
      </c>
      <c r="N2" s="9" t="str">
        <f aca="false">IF(K2="",M2,IF(K2&lt;Súhrn!$B$3,"Po uzávierke",IF(M2="Očakávaná","Očakávaná",IF(K2-Súhrn!$B$3&lt;=14,"Končí do 14 dní","Otvorená"))))</f>
        <v>Končí do 14 dní</v>
      </c>
      <c r="O2" s="11" t="n">
        <f aca="false">IF(K2="","",K2-Súhrn!$B$3)</f>
        <v>0</v>
      </c>
      <c r="P2" s="9" t="s">
        <v>3</v>
      </c>
      <c r="Q2" s="9" t="s">
        <v>43</v>
      </c>
      <c r="R2" s="9" t="s">
        <v>44</v>
      </c>
    </row>
    <row r="3" customFormat="false" ht="23.85" hidden="false" customHeight="false" outlineLevel="0" collapsed="false">
      <c r="A3" s="9" t="n">
        <v>44</v>
      </c>
      <c r="B3" s="9" t="s">
        <v>13</v>
      </c>
      <c r="C3" s="9" t="s">
        <v>45</v>
      </c>
      <c r="D3" s="9" t="s">
        <v>46</v>
      </c>
      <c r="E3" s="9" t="s">
        <v>47</v>
      </c>
      <c r="F3" s="9" t="s">
        <v>38</v>
      </c>
      <c r="G3" s="9" t="s">
        <v>48</v>
      </c>
      <c r="H3" s="9" t="s">
        <v>49</v>
      </c>
      <c r="I3" s="9" t="s">
        <v>50</v>
      </c>
      <c r="J3" s="9" t="s">
        <v>51</v>
      </c>
      <c r="K3" s="10" t="n">
        <v>46322</v>
      </c>
      <c r="L3" s="9"/>
      <c r="M3" s="9" t="s">
        <v>9</v>
      </c>
      <c r="N3" s="9" t="str">
        <f aca="false">IF(K3="",M3,IF(K3&lt;Súhrn!$B$3,"Po uzávierke",IF(M3="Očakávaná","Očakávaná",IF(K3-Súhrn!$B$3&lt;=14,"Končí do 14 dní","Otvorená"))))</f>
        <v>Otvorená</v>
      </c>
      <c r="O3" s="11" t="n">
        <f aca="false">IF(K3="","",K3-Súhrn!$B$3)</f>
        <v>32</v>
      </c>
      <c r="P3" s="9" t="s">
        <v>3</v>
      </c>
      <c r="Q3" s="9" t="s">
        <v>52</v>
      </c>
      <c r="R3" s="9" t="s">
        <v>44</v>
      </c>
    </row>
    <row r="4" customFormat="false" ht="15" hidden="false" customHeight="false" outlineLevel="0" collapsed="false">
      <c r="A4" s="9" t="n">
        <v>46</v>
      </c>
      <c r="B4" s="9" t="s">
        <v>13</v>
      </c>
      <c r="C4" s="9" t="s">
        <v>53</v>
      </c>
      <c r="D4" s="9" t="s">
        <v>54</v>
      </c>
      <c r="E4" s="9" t="s">
        <v>55</v>
      </c>
      <c r="F4" s="9" t="s">
        <v>38</v>
      </c>
      <c r="G4" s="9" t="s">
        <v>48</v>
      </c>
      <c r="H4" s="9" t="s">
        <v>56</v>
      </c>
      <c r="I4" s="9" t="s">
        <v>41</v>
      </c>
      <c r="J4" s="9" t="s">
        <v>42</v>
      </c>
      <c r="K4" s="10" t="n">
        <v>46325</v>
      </c>
      <c r="L4" s="9"/>
      <c r="M4" s="9" t="s">
        <v>9</v>
      </c>
      <c r="N4" s="9" t="str">
        <f aca="false">IF(K4="",M4,IF(K4&lt;Súhrn!$B$3,"Po uzávierke",IF(M4="Očakávaná","Očakávaná",IF(K4-Súhrn!$B$3&lt;=14,"Končí do 14 dní","Otvorená"))))</f>
        <v>Otvorená</v>
      </c>
      <c r="O4" s="11" t="n">
        <f aca="false">IF(K4="","",K4-Súhrn!$B$3)</f>
        <v>35</v>
      </c>
      <c r="P4" s="9" t="s">
        <v>3</v>
      </c>
      <c r="Q4" s="9" t="s">
        <v>57</v>
      </c>
      <c r="R4" s="9" t="s">
        <v>44</v>
      </c>
    </row>
    <row r="5" customFormat="false" ht="15" hidden="false" customHeight="false" outlineLevel="0" collapsed="false">
      <c r="A5" s="9" t="n">
        <v>47</v>
      </c>
      <c r="B5" s="9" t="s">
        <v>13</v>
      </c>
      <c r="C5" s="9" t="s">
        <v>53</v>
      </c>
      <c r="D5" s="9" t="s">
        <v>58</v>
      </c>
      <c r="E5" s="9" t="s">
        <v>55</v>
      </c>
      <c r="F5" s="9" t="s">
        <v>38</v>
      </c>
      <c r="G5" s="9" t="s">
        <v>48</v>
      </c>
      <c r="H5" s="9" t="s">
        <v>59</v>
      </c>
      <c r="I5" s="9" t="s">
        <v>41</v>
      </c>
      <c r="J5" s="9" t="s">
        <v>42</v>
      </c>
      <c r="K5" s="10" t="n">
        <v>46325</v>
      </c>
      <c r="L5" s="9"/>
      <c r="M5" s="9" t="s">
        <v>9</v>
      </c>
      <c r="N5" s="9" t="str">
        <f aca="false">IF(K5="",M5,IF(K5&lt;Súhrn!$B$3,"Po uzávierke",IF(M5="Očakávaná","Očakávaná",IF(K5-Súhrn!$B$3&lt;=14,"Končí do 14 dní","Otvorená"))))</f>
        <v>Otvorená</v>
      </c>
      <c r="O5" s="11" t="n">
        <f aca="false">IF(K5="","",K5-Súhrn!$B$3)</f>
        <v>35</v>
      </c>
      <c r="P5" s="9" t="s">
        <v>3</v>
      </c>
      <c r="Q5" s="9"/>
      <c r="R5" s="9" t="s">
        <v>44</v>
      </c>
    </row>
    <row r="6" customFormat="false" ht="15" hidden="false" customHeight="false" outlineLevel="0" collapsed="false">
      <c r="A6" s="9" t="n">
        <v>48</v>
      </c>
      <c r="B6" s="9" t="s">
        <v>13</v>
      </c>
      <c r="C6" s="9" t="s">
        <v>60</v>
      </c>
      <c r="D6" s="9" t="s">
        <v>61</v>
      </c>
      <c r="E6" s="9" t="s">
        <v>62</v>
      </c>
      <c r="F6" s="9" t="s">
        <v>38</v>
      </c>
      <c r="G6" s="9" t="s">
        <v>63</v>
      </c>
      <c r="H6" s="9" t="s">
        <v>64</v>
      </c>
      <c r="I6" s="9" t="s">
        <v>65</v>
      </c>
      <c r="J6" s="9" t="s">
        <v>66</v>
      </c>
      <c r="K6" s="10" t="n">
        <v>46325</v>
      </c>
      <c r="L6" s="9"/>
      <c r="M6" s="9" t="s">
        <v>9</v>
      </c>
      <c r="N6" s="9" t="str">
        <f aca="false">IF(K6="",M6,IF(K6&lt;Súhrn!$B$3,"Po uzávierke",IF(M6="Očakávaná","Očakávaná",IF(K6-Súhrn!$B$3&lt;=14,"Končí do 14 dní","Otvorená"))))</f>
        <v>Otvorená</v>
      </c>
      <c r="O6" s="11" t="n">
        <f aca="false">IF(K6="","",K6-Súhrn!$B$3)</f>
        <v>35</v>
      </c>
      <c r="P6" s="9" t="s">
        <v>3</v>
      </c>
      <c r="Q6" s="9"/>
      <c r="R6" s="9" t="s">
        <v>44</v>
      </c>
    </row>
    <row r="7" customFormat="false" ht="15" hidden="false" customHeight="false" outlineLevel="0" collapsed="false">
      <c r="A7" s="9" t="n">
        <v>107</v>
      </c>
      <c r="B7" s="12" t="s">
        <v>14</v>
      </c>
      <c r="C7" s="9" t="s">
        <v>67</v>
      </c>
      <c r="D7" s="9" t="s">
        <v>68</v>
      </c>
      <c r="E7" s="9" t="s">
        <v>69</v>
      </c>
      <c r="F7" s="9" t="s">
        <v>38</v>
      </c>
      <c r="G7" s="9" t="s">
        <v>63</v>
      </c>
      <c r="H7" s="9" t="s">
        <v>70</v>
      </c>
      <c r="I7" s="9" t="s">
        <v>42</v>
      </c>
      <c r="J7" s="9" t="s">
        <v>42</v>
      </c>
      <c r="K7" s="10" t="n">
        <v>46325</v>
      </c>
      <c r="L7" s="9" t="s">
        <v>71</v>
      </c>
      <c r="M7" s="9" t="s">
        <v>9</v>
      </c>
      <c r="N7" s="9" t="str">
        <f aca="false">IF(K7="",M7,IF(K7&lt;Súhrn!$B$3,"Po uzávierke",IF(M7="Očakávaná","Očakávaná",IF(K7-Súhrn!$B$3&lt;=14,"Končí do 14 dní","Otvorená"))))</f>
        <v>Otvorená</v>
      </c>
      <c r="O7" s="11" t="n">
        <f aca="false">IF(K7="","",K7-Súhrn!$B$3)</f>
        <v>35</v>
      </c>
      <c r="P7" s="9" t="s">
        <v>3</v>
      </c>
      <c r="Q7" s="9" t="s">
        <v>72</v>
      </c>
      <c r="R7" s="13" t="s">
        <v>73</v>
      </c>
    </row>
    <row r="8" customFormat="false" ht="23.85" hidden="false" customHeight="false" outlineLevel="0" collapsed="false">
      <c r="A8" s="9" t="n">
        <v>3</v>
      </c>
      <c r="B8" s="9" t="s">
        <v>13</v>
      </c>
      <c r="C8" s="9" t="s">
        <v>74</v>
      </c>
      <c r="D8" s="9" t="s">
        <v>75</v>
      </c>
      <c r="E8" s="9" t="s">
        <v>76</v>
      </c>
      <c r="F8" s="9" t="s">
        <v>38</v>
      </c>
      <c r="G8" s="9" t="s">
        <v>77</v>
      </c>
      <c r="H8" s="9" t="s">
        <v>42</v>
      </c>
      <c r="I8" s="9" t="s">
        <v>78</v>
      </c>
      <c r="J8" s="9" t="s">
        <v>79</v>
      </c>
      <c r="K8" s="10" t="n">
        <v>46336</v>
      </c>
      <c r="L8" s="9"/>
      <c r="M8" s="9" t="s">
        <v>9</v>
      </c>
      <c r="N8" s="9" t="str">
        <f aca="false">IF(K8="",M8,IF(K8&lt;Súhrn!$B$3,"Po uzávierke",IF(M8="Očakávaná","Očakávaná",IF(K8-Súhrn!$B$3&lt;=14,"Končí do 14 dní","Otvorená"))))</f>
        <v>Otvorená</v>
      </c>
      <c r="O8" s="11" t="n">
        <f aca="false">IF(K8="","",K8-Súhrn!$B$3)</f>
        <v>46</v>
      </c>
      <c r="P8" s="9" t="s">
        <v>3</v>
      </c>
      <c r="Q8" s="9" t="s">
        <v>80</v>
      </c>
      <c r="R8" s="9" t="s">
        <v>44</v>
      </c>
    </row>
    <row r="9" customFormat="false" ht="15" hidden="false" customHeight="false" outlineLevel="0" collapsed="false">
      <c r="A9" s="9" t="n">
        <v>58</v>
      </c>
      <c r="B9" s="9" t="s">
        <v>13</v>
      </c>
      <c r="C9" s="9" t="s">
        <v>81</v>
      </c>
      <c r="D9" s="9" t="s">
        <v>82</v>
      </c>
      <c r="E9" s="9" t="s">
        <v>83</v>
      </c>
      <c r="F9" s="9" t="s">
        <v>38</v>
      </c>
      <c r="G9" s="9" t="s">
        <v>48</v>
      </c>
      <c r="H9" s="9" t="s">
        <v>84</v>
      </c>
      <c r="I9" s="9" t="s">
        <v>41</v>
      </c>
      <c r="J9" s="9" t="s">
        <v>49</v>
      </c>
      <c r="K9" s="10" t="n">
        <v>46356</v>
      </c>
      <c r="L9" s="9"/>
      <c r="M9" s="9" t="s">
        <v>9</v>
      </c>
      <c r="N9" s="9" t="str">
        <f aca="false">IF(K9="",M9,IF(K9&lt;Súhrn!$B$3,"Po uzávierke",IF(M9="Očakávaná","Očakávaná",IF(K9-Súhrn!$B$3&lt;=14,"Končí do 14 dní","Otvorená"))))</f>
        <v>Otvorená</v>
      </c>
      <c r="O9" s="11" t="n">
        <f aca="false">IF(K9="","",K9-Súhrn!$B$3)</f>
        <v>66</v>
      </c>
      <c r="P9" s="9" t="s">
        <v>3</v>
      </c>
      <c r="Q9" s="9" t="s">
        <v>85</v>
      </c>
      <c r="R9" s="9" t="s">
        <v>44</v>
      </c>
    </row>
    <row r="10" customFormat="false" ht="15" hidden="false" customHeight="false" outlineLevel="0" collapsed="false">
      <c r="A10" s="9" t="n">
        <v>110</v>
      </c>
      <c r="B10" s="12" t="s">
        <v>14</v>
      </c>
      <c r="C10" s="9" t="s">
        <v>86</v>
      </c>
      <c r="D10" s="9" t="s">
        <v>87</v>
      </c>
      <c r="E10" s="9" t="s">
        <v>88</v>
      </c>
      <c r="F10" s="9" t="s">
        <v>38</v>
      </c>
      <c r="G10" s="9" t="s">
        <v>48</v>
      </c>
      <c r="H10" s="9" t="s">
        <v>89</v>
      </c>
      <c r="I10" s="9" t="s">
        <v>42</v>
      </c>
      <c r="J10" s="9" t="s">
        <v>42</v>
      </c>
      <c r="K10" s="10" t="n">
        <v>46356</v>
      </c>
      <c r="L10" s="9" t="s">
        <v>90</v>
      </c>
      <c r="M10" s="9" t="s">
        <v>9</v>
      </c>
      <c r="N10" s="9" t="str">
        <f aca="false">IF(K10="",M10,IF(K10&lt;Súhrn!$B$3,"Po uzávierke",IF(M10="Očakávaná","Očakávaná",IF(K10-Súhrn!$B$3&lt;=14,"Končí do 14 dní","Otvorená"))))</f>
        <v>Otvorená</v>
      </c>
      <c r="O10" s="11" t="n">
        <f aca="false">IF(K10="","",K10-Súhrn!$B$3)</f>
        <v>66</v>
      </c>
      <c r="P10" s="9" t="s">
        <v>3</v>
      </c>
      <c r="Q10" s="9" t="s">
        <v>91</v>
      </c>
      <c r="R10" s="13" t="s">
        <v>92</v>
      </c>
    </row>
    <row r="11" customFormat="false" ht="15" hidden="false" customHeight="false" outlineLevel="0" collapsed="false">
      <c r="A11" s="9" t="n">
        <v>112</v>
      </c>
      <c r="B11" s="12" t="s">
        <v>14</v>
      </c>
      <c r="C11" s="9" t="s">
        <v>86</v>
      </c>
      <c r="D11" s="9" t="s">
        <v>93</v>
      </c>
      <c r="E11" s="9" t="s">
        <v>94</v>
      </c>
      <c r="F11" s="9" t="s">
        <v>38</v>
      </c>
      <c r="G11" s="9" t="s">
        <v>48</v>
      </c>
      <c r="H11" s="9" t="s">
        <v>95</v>
      </c>
      <c r="I11" s="9" t="s">
        <v>42</v>
      </c>
      <c r="J11" s="9" t="s">
        <v>42</v>
      </c>
      <c r="K11" s="10" t="n">
        <v>46568</v>
      </c>
      <c r="L11" s="9" t="s">
        <v>96</v>
      </c>
      <c r="M11" s="9" t="s">
        <v>9</v>
      </c>
      <c r="N11" s="9" t="str">
        <f aca="false">IF(K11="",M11,IF(K11&lt;Súhrn!$B$3,"Po uzávierke",IF(M11="Očakávaná","Očakávaná",IF(K11-Súhrn!$B$3&lt;=14,"Končí do 14 dní","Otvorená"))))</f>
        <v>Otvorená</v>
      </c>
      <c r="O11" s="11" t="n">
        <f aca="false">IF(K11="","",K11-Súhrn!$B$3)</f>
        <v>278</v>
      </c>
      <c r="P11" s="9" t="s">
        <v>3</v>
      </c>
      <c r="Q11" s="9"/>
      <c r="R11" s="13" t="s">
        <v>92</v>
      </c>
    </row>
    <row r="12" customFormat="false" ht="23.85" hidden="false" customHeight="false" outlineLevel="0" collapsed="false">
      <c r="A12" s="9" t="n">
        <v>106</v>
      </c>
      <c r="B12" s="12" t="s">
        <v>14</v>
      </c>
      <c r="C12" s="9" t="s">
        <v>97</v>
      </c>
      <c r="D12" s="9" t="s">
        <v>98</v>
      </c>
      <c r="E12" s="9" t="s">
        <v>99</v>
      </c>
      <c r="F12" s="9" t="s">
        <v>38</v>
      </c>
      <c r="G12" s="9" t="s">
        <v>100</v>
      </c>
      <c r="H12" s="9" t="s">
        <v>101</v>
      </c>
      <c r="I12" s="9" t="s">
        <v>42</v>
      </c>
      <c r="J12" s="9" t="s">
        <v>102</v>
      </c>
      <c r="K12" s="10" t="n">
        <v>46631</v>
      </c>
      <c r="L12" s="9" t="s">
        <v>103</v>
      </c>
      <c r="M12" s="9" t="s">
        <v>9</v>
      </c>
      <c r="N12" s="9" t="str">
        <f aca="false">IF(K12="",M12,IF(K12&lt;Súhrn!$B$3,"Po uzávierke",IF(M12="Očakávaná","Očakávaná",IF(K12-Súhrn!$B$3&lt;=14,"Končí do 14 dní","Otvorená"))))</f>
        <v>Otvorená</v>
      </c>
      <c r="O12" s="11" t="n">
        <f aca="false">IF(K12="","",K12-Súhrn!$B$3)</f>
        <v>341</v>
      </c>
      <c r="P12" s="9" t="s">
        <v>3</v>
      </c>
      <c r="Q12" s="9" t="s">
        <v>104</v>
      </c>
      <c r="R12" s="13" t="s">
        <v>105</v>
      </c>
    </row>
    <row r="13" customFormat="false" ht="15" hidden="false" customHeight="false" outlineLevel="0" collapsed="false">
      <c r="A13" s="9" t="n">
        <v>105</v>
      </c>
      <c r="B13" s="9" t="s">
        <v>13</v>
      </c>
      <c r="C13" s="9" t="s">
        <v>81</v>
      </c>
      <c r="D13" s="9" t="s">
        <v>106</v>
      </c>
      <c r="E13" s="9" t="s">
        <v>107</v>
      </c>
      <c r="F13" s="9" t="s">
        <v>38</v>
      </c>
      <c r="G13" s="9" t="s">
        <v>48</v>
      </c>
      <c r="H13" s="9" t="s">
        <v>95</v>
      </c>
      <c r="I13" s="9" t="s">
        <v>41</v>
      </c>
      <c r="J13" s="9" t="s">
        <v>108</v>
      </c>
      <c r="K13" s="10" t="n">
        <v>46721</v>
      </c>
      <c r="L13" s="9" t="s">
        <v>109</v>
      </c>
      <c r="M13" s="9" t="s">
        <v>10</v>
      </c>
      <c r="N13" s="9" t="str">
        <f aca="false">IF(K13="",M13,IF(K13&lt;Súhrn!$B$3,"Po uzávierke",IF(M13="Očakávaná","Očakávaná",IF(K13-Súhrn!$B$3&lt;=14,"Končí do 14 dní","Otvorená"))))</f>
        <v>Očakávaná</v>
      </c>
      <c r="O13" s="11" t="n">
        <f aca="false">IF(K13="","",K13-Súhrn!$B$3)</f>
        <v>431</v>
      </c>
      <c r="P13" s="9" t="s">
        <v>3</v>
      </c>
      <c r="Q13" s="9" t="s">
        <v>110</v>
      </c>
      <c r="R13" s="9" t="s">
        <v>44</v>
      </c>
    </row>
    <row r="14" customFormat="false" ht="15" hidden="false" customHeight="false" outlineLevel="0" collapsed="false">
      <c r="A14" s="9" t="n">
        <v>71</v>
      </c>
      <c r="B14" s="9" t="s">
        <v>13</v>
      </c>
      <c r="C14" s="9" t="s">
        <v>111</v>
      </c>
      <c r="D14" s="9" t="s">
        <v>112</v>
      </c>
      <c r="E14" s="9" t="s">
        <v>113</v>
      </c>
      <c r="F14" s="9" t="s">
        <v>38</v>
      </c>
      <c r="G14" s="9" t="s">
        <v>48</v>
      </c>
      <c r="H14" s="9" t="s">
        <v>42</v>
      </c>
      <c r="I14" s="9" t="s">
        <v>78</v>
      </c>
      <c r="J14" s="9" t="s">
        <v>42</v>
      </c>
      <c r="K14" s="10" t="n">
        <v>46934</v>
      </c>
      <c r="L14" s="9"/>
      <c r="M14" s="9" t="s">
        <v>9</v>
      </c>
      <c r="N14" s="9" t="str">
        <f aca="false">IF(K14="",M14,IF(K14&lt;Súhrn!$B$3,"Po uzávierke",IF(M14="Očakávaná","Očakávaná",IF(K14-Súhrn!$B$3&lt;=14,"Končí do 14 dní","Otvorená"))))</f>
        <v>Otvorená</v>
      </c>
      <c r="O14" s="11" t="n">
        <f aca="false">IF(K14="","",K14-Súhrn!$B$3)</f>
        <v>644</v>
      </c>
      <c r="P14" s="9" t="s">
        <v>3</v>
      </c>
      <c r="Q14" s="9" t="s">
        <v>114</v>
      </c>
      <c r="R14" s="9" t="s">
        <v>44</v>
      </c>
    </row>
    <row r="15" customFormat="false" ht="15" hidden="false" customHeight="false" outlineLevel="0" collapsed="false">
      <c r="A15" s="9" t="n">
        <v>72</v>
      </c>
      <c r="B15" s="9" t="s">
        <v>13</v>
      </c>
      <c r="C15" s="9" t="s">
        <v>111</v>
      </c>
      <c r="D15" s="9" t="s">
        <v>115</v>
      </c>
      <c r="E15" s="9" t="s">
        <v>113</v>
      </c>
      <c r="F15" s="9" t="s">
        <v>38</v>
      </c>
      <c r="G15" s="9" t="s">
        <v>48</v>
      </c>
      <c r="H15" s="9" t="s">
        <v>42</v>
      </c>
      <c r="I15" s="9" t="s">
        <v>78</v>
      </c>
      <c r="J15" s="9" t="s">
        <v>42</v>
      </c>
      <c r="K15" s="10" t="n">
        <v>46934</v>
      </c>
      <c r="L15" s="9"/>
      <c r="M15" s="9" t="s">
        <v>9</v>
      </c>
      <c r="N15" s="9" t="str">
        <f aca="false">IF(K15="",M15,IF(K15&lt;Súhrn!$B$3,"Po uzávierke",IF(M15="Očakávaná","Očakávaná",IF(K15-Súhrn!$B$3&lt;=14,"Končí do 14 dní","Otvorená"))))</f>
        <v>Otvorená</v>
      </c>
      <c r="O15" s="11" t="n">
        <f aca="false">IF(K15="","",K15-Súhrn!$B$3)</f>
        <v>644</v>
      </c>
      <c r="P15" s="9" t="s">
        <v>3</v>
      </c>
      <c r="Q15" s="9"/>
      <c r="R15" s="9" t="s">
        <v>44</v>
      </c>
    </row>
    <row r="16" customFormat="false" ht="15" hidden="false" customHeight="false" outlineLevel="0" collapsed="false">
      <c r="A16" s="9" t="n">
        <v>73</v>
      </c>
      <c r="B16" s="9" t="s">
        <v>13</v>
      </c>
      <c r="C16" s="9" t="s">
        <v>111</v>
      </c>
      <c r="D16" s="9" t="s">
        <v>116</v>
      </c>
      <c r="E16" s="9" t="s">
        <v>113</v>
      </c>
      <c r="F16" s="9" t="s">
        <v>38</v>
      </c>
      <c r="G16" s="9" t="s">
        <v>48</v>
      </c>
      <c r="H16" s="9" t="s">
        <v>42</v>
      </c>
      <c r="I16" s="9" t="s">
        <v>78</v>
      </c>
      <c r="J16" s="9" t="s">
        <v>42</v>
      </c>
      <c r="K16" s="10" t="n">
        <v>46934</v>
      </c>
      <c r="L16" s="9"/>
      <c r="M16" s="9" t="s">
        <v>9</v>
      </c>
      <c r="N16" s="9" t="str">
        <f aca="false">IF(K16="",M16,IF(K16&lt;Súhrn!$B$3,"Po uzávierke",IF(M16="Očakávaná","Očakávaná",IF(K16-Súhrn!$B$3&lt;=14,"Končí do 14 dní","Otvorená"))))</f>
        <v>Otvorená</v>
      </c>
      <c r="O16" s="11" t="n">
        <f aca="false">IF(K16="","",K16-Súhrn!$B$3)</f>
        <v>644</v>
      </c>
      <c r="P16" s="9" t="s">
        <v>3</v>
      </c>
      <c r="Q16" s="9"/>
      <c r="R16" s="9" t="s">
        <v>44</v>
      </c>
    </row>
    <row r="17" customFormat="false" ht="15" hidden="false" customHeight="false" outlineLevel="0" collapsed="false">
      <c r="A17" s="9" t="n">
        <v>95</v>
      </c>
      <c r="B17" s="9" t="s">
        <v>13</v>
      </c>
      <c r="C17" s="9" t="s">
        <v>117</v>
      </c>
      <c r="D17" s="9" t="s">
        <v>118</v>
      </c>
      <c r="E17" s="9" t="s">
        <v>119</v>
      </c>
      <c r="F17" s="9" t="s">
        <v>38</v>
      </c>
      <c r="G17" s="9" t="s">
        <v>48</v>
      </c>
      <c r="H17" s="9" t="s">
        <v>120</v>
      </c>
      <c r="I17" s="9" t="s">
        <v>121</v>
      </c>
      <c r="J17" s="9" t="s">
        <v>42</v>
      </c>
      <c r="K17" s="10"/>
      <c r="L17" s="9" t="s">
        <v>122</v>
      </c>
      <c r="M17" s="9" t="s">
        <v>10</v>
      </c>
      <c r="N17" s="9" t="str">
        <f aca="false">IF(K17="",M17,IF(K17&lt;Súhrn!$B$3,"Po uzávierke",IF(M17="Očakávaná","Očakávaná",IF(K17-Súhrn!$B$3&lt;=14,"Končí do 14 dní","Otvorená"))))</f>
        <v>Očakávaná</v>
      </c>
      <c r="O17" s="11" t="str">
        <f aca="false">IF(K17="","",K17-Súhrn!$B$3)</f>
        <v/>
      </c>
      <c r="P17" s="9" t="s">
        <v>3</v>
      </c>
      <c r="Q17" s="9" t="s">
        <v>123</v>
      </c>
      <c r="R17" s="9" t="s">
        <v>44</v>
      </c>
    </row>
    <row r="18" customFormat="false" ht="15" hidden="false" customHeight="false" outlineLevel="0" collapsed="false">
      <c r="A18" s="9" t="n">
        <v>97</v>
      </c>
      <c r="B18" s="9" t="s">
        <v>13</v>
      </c>
      <c r="C18" s="9" t="s">
        <v>117</v>
      </c>
      <c r="D18" s="9" t="s">
        <v>124</v>
      </c>
      <c r="E18" s="9" t="s">
        <v>119</v>
      </c>
      <c r="F18" s="9" t="s">
        <v>38</v>
      </c>
      <c r="G18" s="9" t="s">
        <v>48</v>
      </c>
      <c r="H18" s="9" t="s">
        <v>125</v>
      </c>
      <c r="I18" s="9" t="s">
        <v>126</v>
      </c>
      <c r="J18" s="9" t="s">
        <v>42</v>
      </c>
      <c r="K18" s="10"/>
      <c r="L18" s="9" t="s">
        <v>127</v>
      </c>
      <c r="M18" s="9" t="s">
        <v>10</v>
      </c>
      <c r="N18" s="9" t="str">
        <f aca="false">IF(K18="",M18,IF(K18&lt;Súhrn!$B$3,"Po uzávierke",IF(M18="Očakávaná","Očakávaná",IF(K18-Súhrn!$B$3&lt;=14,"Končí do 14 dní","Otvorená"))))</f>
        <v>Očakávaná</v>
      </c>
      <c r="O18" s="11" t="str">
        <f aca="false">IF(K18="","",K18-Súhrn!$B$3)</f>
        <v/>
      </c>
      <c r="P18" s="9" t="s">
        <v>3</v>
      </c>
      <c r="Q18" s="9"/>
      <c r="R18" s="9" t="s">
        <v>44</v>
      </c>
    </row>
    <row r="19" customFormat="false" ht="15" hidden="false" customHeight="false" outlineLevel="0" collapsed="false">
      <c r="A19" s="9" t="n">
        <v>27</v>
      </c>
      <c r="B19" s="9" t="s">
        <v>13</v>
      </c>
      <c r="C19" s="9" t="s">
        <v>128</v>
      </c>
      <c r="D19" s="9" t="s">
        <v>129</v>
      </c>
      <c r="E19" s="9" t="s">
        <v>130</v>
      </c>
      <c r="F19" s="9" t="s">
        <v>38</v>
      </c>
      <c r="G19" s="9" t="s">
        <v>48</v>
      </c>
      <c r="H19" s="9" t="s">
        <v>42</v>
      </c>
      <c r="I19" s="9" t="s">
        <v>42</v>
      </c>
      <c r="J19" s="9" t="s">
        <v>42</v>
      </c>
      <c r="K19" s="10" t="n">
        <v>46295</v>
      </c>
      <c r="L19" s="9"/>
      <c r="M19" s="9" t="s">
        <v>9</v>
      </c>
      <c r="N19" s="9" t="str">
        <f aca="false">IF(K19="",M19,IF(K19&lt;Súhrn!$B$3,"Po uzávierke",IF(M19="Očakávaná","Očakávaná",IF(K19-Súhrn!$B$3&lt;=14,"Končí do 14 dní","Otvorená"))))</f>
        <v>Končí do 14 dní</v>
      </c>
      <c r="O19" s="11" t="n">
        <f aca="false">IF(K19="","",K19-Súhrn!$B$3)</f>
        <v>5</v>
      </c>
      <c r="P19" s="9" t="s">
        <v>4</v>
      </c>
      <c r="Q19" s="9" t="s">
        <v>131</v>
      </c>
      <c r="R19" s="9" t="s">
        <v>44</v>
      </c>
    </row>
    <row r="20" customFormat="false" ht="23.85" hidden="false" customHeight="false" outlineLevel="0" collapsed="false">
      <c r="A20" s="9" t="n">
        <v>1</v>
      </c>
      <c r="B20" s="9" t="s">
        <v>13</v>
      </c>
      <c r="C20" s="9" t="s">
        <v>60</v>
      </c>
      <c r="D20" s="9" t="s">
        <v>132</v>
      </c>
      <c r="E20" s="9" t="s">
        <v>133</v>
      </c>
      <c r="F20" s="9" t="s">
        <v>38</v>
      </c>
      <c r="G20" s="9" t="s">
        <v>63</v>
      </c>
      <c r="H20" s="9" t="s">
        <v>134</v>
      </c>
      <c r="I20" s="9" t="s">
        <v>41</v>
      </c>
      <c r="J20" s="9" t="s">
        <v>79</v>
      </c>
      <c r="K20" s="10" t="n">
        <v>46307</v>
      </c>
      <c r="L20" s="9"/>
      <c r="M20" s="9" t="s">
        <v>9</v>
      </c>
      <c r="N20" s="9" t="str">
        <f aca="false">IF(K20="",M20,IF(K20&lt;Súhrn!$B$3,"Po uzávierke",IF(M20="Očakávaná","Očakávaná",IF(K20-Súhrn!$B$3&lt;=14,"Končí do 14 dní","Otvorená"))))</f>
        <v>Otvorená</v>
      </c>
      <c r="O20" s="11" t="n">
        <f aca="false">IF(K20="","",K20-Súhrn!$B$3)</f>
        <v>17</v>
      </c>
      <c r="P20" s="9" t="s">
        <v>4</v>
      </c>
      <c r="Q20" s="9" t="s">
        <v>135</v>
      </c>
      <c r="R20" s="9" t="s">
        <v>44</v>
      </c>
    </row>
    <row r="21" customFormat="false" ht="15" hidden="false" customHeight="false" outlineLevel="0" collapsed="false">
      <c r="A21" s="9" t="n">
        <v>2</v>
      </c>
      <c r="B21" s="9" t="s">
        <v>13</v>
      </c>
      <c r="C21" s="9" t="s">
        <v>60</v>
      </c>
      <c r="D21" s="9" t="s">
        <v>136</v>
      </c>
      <c r="E21" s="9" t="s">
        <v>137</v>
      </c>
      <c r="F21" s="9" t="s">
        <v>38</v>
      </c>
      <c r="G21" s="9" t="s">
        <v>63</v>
      </c>
      <c r="H21" s="9" t="s">
        <v>138</v>
      </c>
      <c r="I21" s="9" t="s">
        <v>139</v>
      </c>
      <c r="J21" s="9" t="s">
        <v>79</v>
      </c>
      <c r="K21" s="10" t="n">
        <v>46307</v>
      </c>
      <c r="L21" s="9" t="s">
        <v>140</v>
      </c>
      <c r="M21" s="9" t="s">
        <v>9</v>
      </c>
      <c r="N21" s="9" t="str">
        <f aca="false">IF(K21="",M21,IF(K21&lt;Súhrn!$B$3,"Po uzávierke",IF(M21="Očakávaná","Očakávaná",IF(K21-Súhrn!$B$3&lt;=14,"Končí do 14 dní","Otvorená"))))</f>
        <v>Otvorená</v>
      </c>
      <c r="O21" s="11" t="n">
        <f aca="false">IF(K21="","",K21-Súhrn!$B$3)</f>
        <v>17</v>
      </c>
      <c r="P21" s="9" t="s">
        <v>4</v>
      </c>
      <c r="Q21" s="9" t="s">
        <v>141</v>
      </c>
      <c r="R21" s="9" t="s">
        <v>44</v>
      </c>
    </row>
    <row r="22" customFormat="false" ht="23.85" hidden="false" customHeight="false" outlineLevel="0" collapsed="false">
      <c r="A22" s="9" t="n">
        <v>116</v>
      </c>
      <c r="B22" s="12" t="s">
        <v>14</v>
      </c>
      <c r="C22" s="9" t="s">
        <v>142</v>
      </c>
      <c r="D22" s="9" t="s">
        <v>143</v>
      </c>
      <c r="E22" s="9" t="s">
        <v>144</v>
      </c>
      <c r="F22" s="9" t="s">
        <v>38</v>
      </c>
      <c r="G22" s="9" t="s">
        <v>48</v>
      </c>
      <c r="H22" s="9" t="s">
        <v>42</v>
      </c>
      <c r="I22" s="9" t="s">
        <v>42</v>
      </c>
      <c r="J22" s="9" t="s">
        <v>42</v>
      </c>
      <c r="K22" s="10" t="n">
        <v>46317</v>
      </c>
      <c r="L22" s="9" t="s">
        <v>145</v>
      </c>
      <c r="M22" s="9" t="s">
        <v>10</v>
      </c>
      <c r="N22" s="9" t="str">
        <f aca="false">IF(K22="",M22,IF(K22&lt;Súhrn!$B$3,"Po uzávierke",IF(M22="Očakávaná","Očakávaná",IF(K22-Súhrn!$B$3&lt;=14,"Končí do 14 dní","Otvorená"))))</f>
        <v>Očakávaná</v>
      </c>
      <c r="O22" s="11" t="n">
        <f aca="false">IF(K22="","",K22-Súhrn!$B$3)</f>
        <v>27</v>
      </c>
      <c r="P22" s="9" t="s">
        <v>4</v>
      </c>
      <c r="Q22" s="9" t="s">
        <v>146</v>
      </c>
      <c r="R22" s="13" t="s">
        <v>147</v>
      </c>
    </row>
    <row r="23" customFormat="false" ht="15" hidden="false" customHeight="false" outlineLevel="0" collapsed="false">
      <c r="A23" s="9" t="n">
        <v>111</v>
      </c>
      <c r="B23" s="12" t="s">
        <v>14</v>
      </c>
      <c r="C23" s="9" t="s">
        <v>86</v>
      </c>
      <c r="D23" s="9" t="s">
        <v>148</v>
      </c>
      <c r="E23" s="9" t="s">
        <v>149</v>
      </c>
      <c r="F23" s="9" t="s">
        <v>38</v>
      </c>
      <c r="G23" s="9" t="s">
        <v>48</v>
      </c>
      <c r="H23" s="9" t="s">
        <v>150</v>
      </c>
      <c r="I23" s="9" t="s">
        <v>42</v>
      </c>
      <c r="J23" s="9" t="s">
        <v>42</v>
      </c>
      <c r="K23" s="10" t="n">
        <v>46325</v>
      </c>
      <c r="L23" s="9" t="s">
        <v>151</v>
      </c>
      <c r="M23" s="9" t="s">
        <v>9</v>
      </c>
      <c r="N23" s="9" t="str">
        <f aca="false">IF(K23="",M23,IF(K23&lt;Súhrn!$B$3,"Po uzávierke",IF(M23="Očakávaná","Očakávaná",IF(K23-Súhrn!$B$3&lt;=14,"Končí do 14 dní","Otvorená"))))</f>
        <v>Otvorená</v>
      </c>
      <c r="O23" s="11" t="n">
        <f aca="false">IF(K23="","",K23-Súhrn!$B$3)</f>
        <v>35</v>
      </c>
      <c r="P23" s="9" t="s">
        <v>4</v>
      </c>
      <c r="Q23" s="9"/>
      <c r="R23" s="13" t="s">
        <v>92</v>
      </c>
    </row>
    <row r="24" customFormat="false" ht="15" hidden="false" customHeight="false" outlineLevel="0" collapsed="false">
      <c r="A24" s="9" t="n">
        <v>98</v>
      </c>
      <c r="B24" s="9" t="s">
        <v>13</v>
      </c>
      <c r="C24" s="9" t="s">
        <v>60</v>
      </c>
      <c r="D24" s="9" t="s">
        <v>152</v>
      </c>
      <c r="E24" s="9" t="s">
        <v>153</v>
      </c>
      <c r="F24" s="9" t="s">
        <v>38</v>
      </c>
      <c r="G24" s="9" t="s">
        <v>63</v>
      </c>
      <c r="H24" s="9" t="s">
        <v>154</v>
      </c>
      <c r="I24" s="9" t="s">
        <v>41</v>
      </c>
      <c r="J24" s="9" t="s">
        <v>155</v>
      </c>
      <c r="K24" s="10" t="n">
        <v>46331</v>
      </c>
      <c r="L24" s="9"/>
      <c r="M24" s="9" t="s">
        <v>10</v>
      </c>
      <c r="N24" s="9" t="str">
        <f aca="false">IF(K24="",M24,IF(K24&lt;Súhrn!$B$3,"Po uzávierke",IF(M24="Očakávaná","Očakávaná",IF(K24-Súhrn!$B$3&lt;=14,"Končí do 14 dní","Otvorená"))))</f>
        <v>Očakávaná</v>
      </c>
      <c r="O24" s="11" t="n">
        <f aca="false">IF(K24="","",K24-Súhrn!$B$3)</f>
        <v>41</v>
      </c>
      <c r="P24" s="9" t="s">
        <v>4</v>
      </c>
      <c r="Q24" s="9"/>
      <c r="R24" s="9" t="s">
        <v>44</v>
      </c>
    </row>
    <row r="25" customFormat="false" ht="15" hidden="false" customHeight="false" outlineLevel="0" collapsed="false">
      <c r="A25" s="9" t="n">
        <v>50</v>
      </c>
      <c r="B25" s="9" t="s">
        <v>13</v>
      </c>
      <c r="C25" s="9" t="s">
        <v>35</v>
      </c>
      <c r="D25" s="9" t="s">
        <v>156</v>
      </c>
      <c r="E25" s="9" t="s">
        <v>157</v>
      </c>
      <c r="F25" s="9" t="s">
        <v>38</v>
      </c>
      <c r="G25" s="9" t="s">
        <v>48</v>
      </c>
      <c r="H25" s="9" t="s">
        <v>158</v>
      </c>
      <c r="I25" s="9" t="s">
        <v>159</v>
      </c>
      <c r="J25" s="9" t="s">
        <v>42</v>
      </c>
      <c r="K25" s="10" t="n">
        <v>46336</v>
      </c>
      <c r="L25" s="9"/>
      <c r="M25" s="9" t="s">
        <v>9</v>
      </c>
      <c r="N25" s="9" t="str">
        <f aca="false">IF(K25="",M25,IF(K25&lt;Súhrn!$B$3,"Po uzávierke",IF(M25="Očakávaná","Očakávaná",IF(K25-Súhrn!$B$3&lt;=14,"Končí do 14 dní","Otvorená"))))</f>
        <v>Otvorená</v>
      </c>
      <c r="O25" s="11" t="n">
        <f aca="false">IF(K25="","",K25-Súhrn!$B$3)</f>
        <v>46</v>
      </c>
      <c r="P25" s="9" t="s">
        <v>4</v>
      </c>
      <c r="Q25" s="9" t="s">
        <v>160</v>
      </c>
      <c r="R25" s="9" t="s">
        <v>44</v>
      </c>
    </row>
    <row r="26" customFormat="false" ht="23.85" hidden="false" customHeight="false" outlineLevel="0" collapsed="false">
      <c r="A26" s="9" t="n">
        <v>57</v>
      </c>
      <c r="B26" s="9" t="s">
        <v>13</v>
      </c>
      <c r="C26" s="9" t="s">
        <v>161</v>
      </c>
      <c r="D26" s="9" t="s">
        <v>162</v>
      </c>
      <c r="E26" s="9" t="s">
        <v>163</v>
      </c>
      <c r="F26" s="9" t="s">
        <v>38</v>
      </c>
      <c r="G26" s="9" t="s">
        <v>48</v>
      </c>
      <c r="H26" s="9" t="s">
        <v>164</v>
      </c>
      <c r="I26" s="9" t="s">
        <v>42</v>
      </c>
      <c r="J26" s="9" t="s">
        <v>165</v>
      </c>
      <c r="K26" s="10" t="n">
        <v>46356</v>
      </c>
      <c r="L26" s="9"/>
      <c r="M26" s="9" t="s">
        <v>9</v>
      </c>
      <c r="N26" s="9" t="str">
        <f aca="false">IF(K26="",M26,IF(K26&lt;Súhrn!$B$3,"Po uzávierke",IF(M26="Očakávaná","Očakávaná",IF(K26-Súhrn!$B$3&lt;=14,"Končí do 14 dní","Otvorená"))))</f>
        <v>Otvorená</v>
      </c>
      <c r="O26" s="11" t="n">
        <f aca="false">IF(K26="","",K26-Súhrn!$B$3)</f>
        <v>66</v>
      </c>
      <c r="P26" s="9" t="s">
        <v>4</v>
      </c>
      <c r="Q26" s="9" t="s">
        <v>166</v>
      </c>
      <c r="R26" s="9" t="s">
        <v>44</v>
      </c>
    </row>
    <row r="27" customFormat="false" ht="15" hidden="false" customHeight="false" outlineLevel="0" collapsed="false">
      <c r="A27" s="9" t="n">
        <v>59</v>
      </c>
      <c r="B27" s="9" t="s">
        <v>13</v>
      </c>
      <c r="C27" s="9" t="s">
        <v>167</v>
      </c>
      <c r="D27" s="9" t="s">
        <v>168</v>
      </c>
      <c r="E27" s="9" t="s">
        <v>169</v>
      </c>
      <c r="F27" s="9" t="s">
        <v>170</v>
      </c>
      <c r="G27" s="9" t="s">
        <v>77</v>
      </c>
      <c r="H27" s="9" t="s">
        <v>42</v>
      </c>
      <c r="I27" s="9" t="s">
        <v>42</v>
      </c>
      <c r="J27" s="9" t="s">
        <v>42</v>
      </c>
      <c r="K27" s="10" t="n">
        <v>46373</v>
      </c>
      <c r="L27" s="9"/>
      <c r="M27" s="9" t="s">
        <v>9</v>
      </c>
      <c r="N27" s="9" t="str">
        <f aca="false">IF(K27="",M27,IF(K27&lt;Súhrn!$B$3,"Po uzávierke",IF(M27="Očakávaná","Očakávaná",IF(K27-Súhrn!$B$3&lt;=14,"Končí do 14 dní","Otvorená"))))</f>
        <v>Otvorená</v>
      </c>
      <c r="O27" s="11" t="n">
        <f aca="false">IF(K27="","",K27-Súhrn!$B$3)</f>
        <v>83</v>
      </c>
      <c r="P27" s="9" t="s">
        <v>4</v>
      </c>
      <c r="Q27" s="9" t="s">
        <v>171</v>
      </c>
      <c r="R27" s="9" t="s">
        <v>44</v>
      </c>
    </row>
    <row r="28" customFormat="false" ht="15" hidden="false" customHeight="false" outlineLevel="0" collapsed="false">
      <c r="A28" s="9" t="n">
        <v>60</v>
      </c>
      <c r="B28" s="9" t="s">
        <v>13</v>
      </c>
      <c r="C28" s="9" t="s">
        <v>35</v>
      </c>
      <c r="D28" s="9" t="s">
        <v>172</v>
      </c>
      <c r="E28" s="9" t="s">
        <v>173</v>
      </c>
      <c r="F28" s="9" t="s">
        <v>38</v>
      </c>
      <c r="G28" s="9" t="s">
        <v>48</v>
      </c>
      <c r="H28" s="9" t="s">
        <v>174</v>
      </c>
      <c r="I28" s="9" t="s">
        <v>126</v>
      </c>
      <c r="J28" s="9" t="s">
        <v>42</v>
      </c>
      <c r="K28" s="10" t="n">
        <v>46373</v>
      </c>
      <c r="L28" s="9"/>
      <c r="M28" s="9" t="s">
        <v>9</v>
      </c>
      <c r="N28" s="9" t="str">
        <f aca="false">IF(K28="",M28,IF(K28&lt;Súhrn!$B$3,"Po uzávierke",IF(M28="Očakávaná","Očakávaná",IF(K28-Súhrn!$B$3&lt;=14,"Končí do 14 dní","Otvorená"))))</f>
        <v>Otvorená</v>
      </c>
      <c r="O28" s="11" t="n">
        <f aca="false">IF(K28="","",K28-Súhrn!$B$3)</f>
        <v>83</v>
      </c>
      <c r="P28" s="9" t="s">
        <v>4</v>
      </c>
      <c r="Q28" s="9"/>
      <c r="R28" s="9" t="s">
        <v>44</v>
      </c>
    </row>
    <row r="29" customFormat="false" ht="15" hidden="false" customHeight="false" outlineLevel="0" collapsed="false">
      <c r="A29" s="9" t="n">
        <v>61</v>
      </c>
      <c r="B29" s="9" t="s">
        <v>13</v>
      </c>
      <c r="C29" s="9" t="s">
        <v>175</v>
      </c>
      <c r="D29" s="9" t="s">
        <v>176</v>
      </c>
      <c r="E29" s="9" t="s">
        <v>177</v>
      </c>
      <c r="F29" s="9" t="s">
        <v>178</v>
      </c>
      <c r="G29" s="9" t="s">
        <v>48</v>
      </c>
      <c r="H29" s="9" t="s">
        <v>179</v>
      </c>
      <c r="I29" s="9" t="s">
        <v>126</v>
      </c>
      <c r="J29" s="9" t="s">
        <v>180</v>
      </c>
      <c r="K29" s="10" t="n">
        <v>46387</v>
      </c>
      <c r="L29" s="9"/>
      <c r="M29" s="9" t="s">
        <v>9</v>
      </c>
      <c r="N29" s="9" t="str">
        <f aca="false">IF(K29="",M29,IF(K29&lt;Súhrn!$B$3,"Po uzávierke",IF(M29="Očakávaná","Očakávaná",IF(K29-Súhrn!$B$3&lt;=14,"Končí do 14 dní","Otvorená"))))</f>
        <v>Otvorená</v>
      </c>
      <c r="O29" s="11" t="n">
        <f aca="false">IF(K29="","",K29-Súhrn!$B$3)</f>
        <v>97</v>
      </c>
      <c r="P29" s="9" t="s">
        <v>4</v>
      </c>
      <c r="Q29" s="9" t="s">
        <v>181</v>
      </c>
      <c r="R29" s="9" t="s">
        <v>44</v>
      </c>
    </row>
    <row r="30" customFormat="false" ht="15" hidden="false" customHeight="false" outlineLevel="0" collapsed="false">
      <c r="A30" s="9" t="n">
        <v>108</v>
      </c>
      <c r="B30" s="12" t="s">
        <v>14</v>
      </c>
      <c r="C30" s="9" t="s">
        <v>182</v>
      </c>
      <c r="D30" s="9" t="s">
        <v>183</v>
      </c>
      <c r="E30" s="9" t="s">
        <v>184</v>
      </c>
      <c r="F30" s="9" t="s">
        <v>38</v>
      </c>
      <c r="G30" s="9" t="s">
        <v>63</v>
      </c>
      <c r="H30" s="9" t="s">
        <v>42</v>
      </c>
      <c r="I30" s="9" t="s">
        <v>42</v>
      </c>
      <c r="J30" s="9" t="s">
        <v>42</v>
      </c>
      <c r="K30" s="10" t="n">
        <v>46387</v>
      </c>
      <c r="L30" s="9" t="s">
        <v>185</v>
      </c>
      <c r="M30" s="9" t="s">
        <v>9</v>
      </c>
      <c r="N30" s="9" t="str">
        <f aca="false">IF(K30="",M30,IF(K30&lt;Súhrn!$B$3,"Po uzávierke",IF(M30="Očakávaná","Očakávaná",IF(K30-Súhrn!$B$3&lt;=14,"Končí do 14 dní","Otvorená"))))</f>
        <v>Otvorená</v>
      </c>
      <c r="O30" s="11" t="n">
        <f aca="false">IF(K30="","",K30-Súhrn!$B$3)</f>
        <v>97</v>
      </c>
      <c r="P30" s="9" t="s">
        <v>4</v>
      </c>
      <c r="Q30" s="9" t="s">
        <v>186</v>
      </c>
      <c r="R30" s="13" t="s">
        <v>187</v>
      </c>
    </row>
    <row r="31" customFormat="false" ht="23.85" hidden="false" customHeight="false" outlineLevel="0" collapsed="false">
      <c r="A31" s="9" t="n">
        <v>115</v>
      </c>
      <c r="B31" s="12" t="s">
        <v>14</v>
      </c>
      <c r="C31" s="9" t="s">
        <v>188</v>
      </c>
      <c r="D31" s="9" t="s">
        <v>189</v>
      </c>
      <c r="E31" s="9" t="s">
        <v>190</v>
      </c>
      <c r="F31" s="9" t="s">
        <v>178</v>
      </c>
      <c r="G31" s="9" t="s">
        <v>63</v>
      </c>
      <c r="H31" s="9" t="s">
        <v>42</v>
      </c>
      <c r="I31" s="9" t="s">
        <v>42</v>
      </c>
      <c r="J31" s="9" t="s">
        <v>42</v>
      </c>
      <c r="K31" s="10" t="n">
        <v>46387</v>
      </c>
      <c r="L31" s="9" t="s">
        <v>191</v>
      </c>
      <c r="M31" s="9" t="s">
        <v>9</v>
      </c>
      <c r="N31" s="9" t="str">
        <f aca="false">IF(K31="",M31,IF(K31&lt;Súhrn!$B$3,"Po uzávierke",IF(M31="Očakávaná","Očakávaná",IF(K31-Súhrn!$B$3&lt;=14,"Končí do 14 dní","Otvorená"))))</f>
        <v>Otvorená</v>
      </c>
      <c r="O31" s="11" t="n">
        <f aca="false">IF(K31="","",K31-Súhrn!$B$3)</f>
        <v>97</v>
      </c>
      <c r="P31" s="9" t="s">
        <v>4</v>
      </c>
      <c r="Q31" s="9"/>
      <c r="R31" s="13" t="s">
        <v>192</v>
      </c>
    </row>
    <row r="32" customFormat="false" ht="15" hidden="false" customHeight="false" outlineLevel="0" collapsed="false">
      <c r="A32" s="9" t="n">
        <v>67</v>
      </c>
      <c r="B32" s="9" t="s">
        <v>13</v>
      </c>
      <c r="C32" s="9" t="s">
        <v>193</v>
      </c>
      <c r="D32" s="9" t="s">
        <v>194</v>
      </c>
      <c r="E32" s="9" t="s">
        <v>195</v>
      </c>
      <c r="F32" s="9" t="s">
        <v>196</v>
      </c>
      <c r="G32" s="9" t="s">
        <v>77</v>
      </c>
      <c r="H32" s="9" t="s">
        <v>197</v>
      </c>
      <c r="I32" s="9" t="s">
        <v>42</v>
      </c>
      <c r="J32" s="9" t="s">
        <v>42</v>
      </c>
      <c r="K32" s="10" t="n">
        <v>46434</v>
      </c>
      <c r="L32" s="9" t="s">
        <v>198</v>
      </c>
      <c r="M32" s="9" t="s">
        <v>9</v>
      </c>
      <c r="N32" s="9" t="str">
        <f aca="false">IF(K32="",M32,IF(K32&lt;Súhrn!$B$3,"Po uzávierke",IF(M32="Očakávaná","Očakávaná",IF(K32-Súhrn!$B$3&lt;=14,"Končí do 14 dní","Otvorená"))))</f>
        <v>Otvorená</v>
      </c>
      <c r="O32" s="11" t="n">
        <f aca="false">IF(K32="","",K32-Súhrn!$B$3)</f>
        <v>144</v>
      </c>
      <c r="P32" s="9" t="s">
        <v>4</v>
      </c>
      <c r="Q32" s="9" t="s">
        <v>199</v>
      </c>
      <c r="R32" s="9" t="s">
        <v>44</v>
      </c>
    </row>
    <row r="33" customFormat="false" ht="15" hidden="false" customHeight="false" outlineLevel="0" collapsed="false">
      <c r="A33" s="9" t="n">
        <v>74</v>
      </c>
      <c r="B33" s="9" t="s">
        <v>13</v>
      </c>
      <c r="C33" s="9" t="s">
        <v>111</v>
      </c>
      <c r="D33" s="9" t="s">
        <v>200</v>
      </c>
      <c r="E33" s="9" t="s">
        <v>201</v>
      </c>
      <c r="F33" s="9" t="s">
        <v>38</v>
      </c>
      <c r="G33" s="9" t="s">
        <v>48</v>
      </c>
      <c r="H33" s="9" t="s">
        <v>42</v>
      </c>
      <c r="I33" s="9" t="s">
        <v>78</v>
      </c>
      <c r="J33" s="9" t="s">
        <v>202</v>
      </c>
      <c r="K33" s="10" t="n">
        <v>46934</v>
      </c>
      <c r="L33" s="9"/>
      <c r="M33" s="9" t="s">
        <v>9</v>
      </c>
      <c r="N33" s="9" t="str">
        <f aca="false">IF(K33="",M33,IF(K33&lt;Súhrn!$B$3,"Po uzávierke",IF(M33="Očakávaná","Očakávaná",IF(K33-Súhrn!$B$3&lt;=14,"Končí do 14 dní","Otvorená"))))</f>
        <v>Otvorená</v>
      </c>
      <c r="O33" s="11" t="n">
        <f aca="false">IF(K33="","",K33-Súhrn!$B$3)</f>
        <v>644</v>
      </c>
      <c r="P33" s="9" t="s">
        <v>4</v>
      </c>
      <c r="Q33" s="9"/>
      <c r="R33" s="9" t="s">
        <v>44</v>
      </c>
    </row>
    <row r="34" customFormat="false" ht="23.85" hidden="false" customHeight="false" outlineLevel="0" collapsed="false">
      <c r="A34" s="9" t="n">
        <v>75</v>
      </c>
      <c r="B34" s="9" t="s">
        <v>13</v>
      </c>
      <c r="C34" s="9" t="s">
        <v>203</v>
      </c>
      <c r="D34" s="9" t="s">
        <v>204</v>
      </c>
      <c r="E34" s="9" t="s">
        <v>205</v>
      </c>
      <c r="F34" s="9" t="s">
        <v>38</v>
      </c>
      <c r="G34" s="9" t="s">
        <v>48</v>
      </c>
      <c r="H34" s="9" t="s">
        <v>42</v>
      </c>
      <c r="I34" s="9" t="s">
        <v>126</v>
      </c>
      <c r="J34" s="9" t="s">
        <v>206</v>
      </c>
      <c r="K34" s="10"/>
      <c r="L34" s="9" t="s">
        <v>207</v>
      </c>
      <c r="M34" s="9" t="s">
        <v>11</v>
      </c>
      <c r="N34" s="9" t="str">
        <f aca="false">IF(K34="",M34,IF(K34&lt;Súhrn!$B$3,"Po uzávierke",IF(M34="Očakávaná","Očakávaná",IF(K34-Súhrn!$B$3&lt;=14,"Končí do 14 dní","Otvorená"))))</f>
        <v>Priebežná</v>
      </c>
      <c r="O34" s="11" t="str">
        <f aca="false">IF(K34="","",K34-Súhrn!$B$3)</f>
        <v/>
      </c>
      <c r="P34" s="9" t="s">
        <v>4</v>
      </c>
      <c r="Q34" s="9" t="s">
        <v>208</v>
      </c>
      <c r="R34" s="9" t="s">
        <v>44</v>
      </c>
    </row>
    <row r="35" customFormat="false" ht="15" hidden="false" customHeight="false" outlineLevel="0" collapsed="false">
      <c r="A35" s="9" t="n">
        <v>82</v>
      </c>
      <c r="B35" s="9" t="s">
        <v>13</v>
      </c>
      <c r="C35" s="9" t="s">
        <v>209</v>
      </c>
      <c r="D35" s="9" t="s">
        <v>210</v>
      </c>
      <c r="E35" s="9" t="s">
        <v>211</v>
      </c>
      <c r="F35" s="9" t="s">
        <v>178</v>
      </c>
      <c r="G35" s="9" t="s">
        <v>63</v>
      </c>
      <c r="H35" s="9" t="s">
        <v>212</v>
      </c>
      <c r="I35" s="9" t="s">
        <v>42</v>
      </c>
      <c r="J35" s="9" t="s">
        <v>213</v>
      </c>
      <c r="K35" s="10"/>
      <c r="L35" s="9" t="s">
        <v>207</v>
      </c>
      <c r="M35" s="9" t="s">
        <v>11</v>
      </c>
      <c r="N35" s="9" t="str">
        <f aca="false">IF(K35="",M35,IF(K35&lt;Súhrn!$B$3,"Po uzávierke",IF(M35="Očakávaná","Očakávaná",IF(K35-Súhrn!$B$3&lt;=14,"Končí do 14 dní","Otvorená"))))</f>
        <v>Priebežná</v>
      </c>
      <c r="O35" s="11" t="str">
        <f aca="false">IF(K35="","",K35-Súhrn!$B$3)</f>
        <v/>
      </c>
      <c r="P35" s="9" t="s">
        <v>4</v>
      </c>
      <c r="Q35" s="9" t="s">
        <v>214</v>
      </c>
      <c r="R35" s="9" t="s">
        <v>44</v>
      </c>
    </row>
    <row r="36" customFormat="false" ht="15" hidden="false" customHeight="false" outlineLevel="0" collapsed="false">
      <c r="A36" s="9" t="n">
        <v>85</v>
      </c>
      <c r="B36" s="9" t="s">
        <v>13</v>
      </c>
      <c r="C36" s="9" t="s">
        <v>203</v>
      </c>
      <c r="D36" s="9" t="s">
        <v>215</v>
      </c>
      <c r="E36" s="9" t="s">
        <v>205</v>
      </c>
      <c r="F36" s="9" t="s">
        <v>38</v>
      </c>
      <c r="G36" s="9" t="s">
        <v>48</v>
      </c>
      <c r="H36" s="9" t="s">
        <v>216</v>
      </c>
      <c r="I36" s="9" t="s">
        <v>126</v>
      </c>
      <c r="J36" s="9" t="s">
        <v>206</v>
      </c>
      <c r="K36" s="10"/>
      <c r="L36" s="9" t="s">
        <v>217</v>
      </c>
      <c r="M36" s="9" t="s">
        <v>11</v>
      </c>
      <c r="N36" s="9" t="str">
        <f aca="false">IF(K36="",M36,IF(K36&lt;Súhrn!$B$3,"Po uzávierke",IF(M36="Očakávaná","Očakávaná",IF(K36-Súhrn!$B$3&lt;=14,"Končí do 14 dní","Otvorená"))))</f>
        <v>Priebežná</v>
      </c>
      <c r="O36" s="11" t="str">
        <f aca="false">IF(K36="","",K36-Súhrn!$B$3)</f>
        <v/>
      </c>
      <c r="P36" s="9" t="s">
        <v>4</v>
      </c>
      <c r="Q36" s="9" t="s">
        <v>218</v>
      </c>
      <c r="R36" s="9" t="s">
        <v>44</v>
      </c>
    </row>
    <row r="37" customFormat="false" ht="15" hidden="false" customHeight="false" outlineLevel="0" collapsed="false">
      <c r="A37" s="9" t="n">
        <v>86</v>
      </c>
      <c r="B37" s="9" t="s">
        <v>13</v>
      </c>
      <c r="C37" s="9" t="s">
        <v>209</v>
      </c>
      <c r="D37" s="9" t="s">
        <v>219</v>
      </c>
      <c r="E37" s="9" t="s">
        <v>220</v>
      </c>
      <c r="F37" s="9" t="s">
        <v>221</v>
      </c>
      <c r="G37" s="9" t="s">
        <v>48</v>
      </c>
      <c r="H37" s="9" t="s">
        <v>42</v>
      </c>
      <c r="I37" s="9" t="s">
        <v>222</v>
      </c>
      <c r="J37" s="9" t="s">
        <v>42</v>
      </c>
      <c r="K37" s="10"/>
      <c r="L37" s="9" t="s">
        <v>207</v>
      </c>
      <c r="M37" s="9" t="s">
        <v>11</v>
      </c>
      <c r="N37" s="9" t="str">
        <f aca="false">IF(K37="",M37,IF(K37&lt;Súhrn!$B$3,"Po uzávierke",IF(M37="Očakávaná","Očakávaná",IF(K37-Súhrn!$B$3&lt;=14,"Končí do 14 dní","Otvorená"))))</f>
        <v>Priebežná</v>
      </c>
      <c r="O37" s="11" t="str">
        <f aca="false">IF(K37="","",K37-Súhrn!$B$3)</f>
        <v/>
      </c>
      <c r="P37" s="9" t="s">
        <v>4</v>
      </c>
      <c r="Q37" s="9"/>
      <c r="R37" s="9" t="s">
        <v>44</v>
      </c>
    </row>
    <row r="38" customFormat="false" ht="15" hidden="false" customHeight="false" outlineLevel="0" collapsed="false">
      <c r="A38" s="9" t="n">
        <v>87</v>
      </c>
      <c r="B38" s="9" t="s">
        <v>13</v>
      </c>
      <c r="C38" s="9" t="s">
        <v>209</v>
      </c>
      <c r="D38" s="9" t="s">
        <v>223</v>
      </c>
      <c r="E38" s="9" t="s">
        <v>211</v>
      </c>
      <c r="F38" s="9" t="s">
        <v>178</v>
      </c>
      <c r="G38" s="9" t="s">
        <v>63</v>
      </c>
      <c r="H38" s="9" t="s">
        <v>224</v>
      </c>
      <c r="I38" s="9" t="s">
        <v>42</v>
      </c>
      <c r="J38" s="9" t="s">
        <v>213</v>
      </c>
      <c r="K38" s="10"/>
      <c r="L38" s="9" t="s">
        <v>207</v>
      </c>
      <c r="M38" s="9" t="s">
        <v>11</v>
      </c>
      <c r="N38" s="9" t="str">
        <f aca="false">IF(K38="",M38,IF(K38&lt;Súhrn!$B$3,"Po uzávierke",IF(M38="Očakávaná","Očakávaná",IF(K38-Súhrn!$B$3&lt;=14,"Končí do 14 dní","Otvorená"))))</f>
        <v>Priebežná</v>
      </c>
      <c r="O38" s="11" t="str">
        <f aca="false">IF(K38="","",K38-Súhrn!$B$3)</f>
        <v/>
      </c>
      <c r="P38" s="9" t="s">
        <v>4</v>
      </c>
      <c r="Q38" s="9" t="s">
        <v>214</v>
      </c>
      <c r="R38" s="9" t="s">
        <v>44</v>
      </c>
    </row>
    <row r="39" customFormat="false" ht="23.85" hidden="false" customHeight="false" outlineLevel="0" collapsed="false">
      <c r="A39" s="9" t="n">
        <v>92</v>
      </c>
      <c r="B39" s="9" t="s">
        <v>13</v>
      </c>
      <c r="C39" s="9" t="s">
        <v>203</v>
      </c>
      <c r="D39" s="9" t="s">
        <v>225</v>
      </c>
      <c r="E39" s="9" t="s">
        <v>226</v>
      </c>
      <c r="F39" s="9" t="s">
        <v>38</v>
      </c>
      <c r="G39" s="9" t="s">
        <v>48</v>
      </c>
      <c r="H39" s="9" t="s">
        <v>227</v>
      </c>
      <c r="I39" s="9" t="s">
        <v>41</v>
      </c>
      <c r="J39" s="9" t="s">
        <v>228</v>
      </c>
      <c r="K39" s="10"/>
      <c r="L39" s="9" t="s">
        <v>217</v>
      </c>
      <c r="M39" s="9" t="s">
        <v>10</v>
      </c>
      <c r="N39" s="9" t="str">
        <f aca="false">IF(K39="",M39,IF(K39&lt;Súhrn!$B$3,"Po uzávierke",IF(M39="Očakávaná","Očakávaná",IF(K39-Súhrn!$B$3&lt;=14,"Končí do 14 dní","Otvorená"))))</f>
        <v>Očakávaná</v>
      </c>
      <c r="O39" s="11" t="str">
        <f aca="false">IF(K39="","",K39-Súhrn!$B$3)</f>
        <v/>
      </c>
      <c r="P39" s="9" t="s">
        <v>4</v>
      </c>
      <c r="Q39" s="9" t="s">
        <v>229</v>
      </c>
      <c r="R39" s="9" t="s">
        <v>44</v>
      </c>
    </row>
    <row r="40" customFormat="false" ht="15" hidden="false" customHeight="false" outlineLevel="0" collapsed="false">
      <c r="A40" s="9" t="n">
        <v>93</v>
      </c>
      <c r="B40" s="9" t="s">
        <v>13</v>
      </c>
      <c r="C40" s="9" t="s">
        <v>117</v>
      </c>
      <c r="D40" s="9" t="s">
        <v>230</v>
      </c>
      <c r="E40" s="9" t="s">
        <v>231</v>
      </c>
      <c r="F40" s="9" t="s">
        <v>38</v>
      </c>
      <c r="G40" s="9" t="s">
        <v>48</v>
      </c>
      <c r="H40" s="9" t="s">
        <v>232</v>
      </c>
      <c r="I40" s="9" t="s">
        <v>126</v>
      </c>
      <c r="J40" s="9" t="s">
        <v>42</v>
      </c>
      <c r="K40" s="10"/>
      <c r="L40" s="9" t="s">
        <v>233</v>
      </c>
      <c r="M40" s="9" t="s">
        <v>10</v>
      </c>
      <c r="N40" s="9" t="str">
        <f aca="false">IF(K40="",M40,IF(K40&lt;Súhrn!$B$3,"Po uzávierke",IF(M40="Očakávaná","Očakávaná",IF(K40-Súhrn!$B$3&lt;=14,"Končí do 14 dní","Otvorená"))))</f>
        <v>Očakávaná</v>
      </c>
      <c r="O40" s="11" t="str">
        <f aca="false">IF(K40="","",K40-Súhrn!$B$3)</f>
        <v/>
      </c>
      <c r="P40" s="9" t="s">
        <v>4</v>
      </c>
      <c r="Q40" s="9" t="s">
        <v>234</v>
      </c>
      <c r="R40" s="9" t="s">
        <v>44</v>
      </c>
    </row>
    <row r="41" customFormat="false" ht="15" hidden="false" customHeight="false" outlineLevel="0" collapsed="false">
      <c r="A41" s="9" t="n">
        <v>94</v>
      </c>
      <c r="B41" s="9" t="s">
        <v>13</v>
      </c>
      <c r="C41" s="9" t="s">
        <v>117</v>
      </c>
      <c r="D41" s="9" t="s">
        <v>235</v>
      </c>
      <c r="E41" s="9" t="s">
        <v>231</v>
      </c>
      <c r="F41" s="9" t="s">
        <v>38</v>
      </c>
      <c r="G41" s="9" t="s">
        <v>48</v>
      </c>
      <c r="H41" s="9" t="s">
        <v>174</v>
      </c>
      <c r="I41" s="9" t="s">
        <v>50</v>
      </c>
      <c r="J41" s="9" t="s">
        <v>42</v>
      </c>
      <c r="K41" s="10"/>
      <c r="L41" s="9" t="s">
        <v>236</v>
      </c>
      <c r="M41" s="9" t="s">
        <v>10</v>
      </c>
      <c r="N41" s="9" t="str">
        <f aca="false">IF(K41="",M41,IF(K41&lt;Súhrn!$B$3,"Po uzávierke",IF(M41="Očakávaná","Očakávaná",IF(K41-Súhrn!$B$3&lt;=14,"Končí do 14 dní","Otvorená"))))</f>
        <v>Očakávaná</v>
      </c>
      <c r="O41" s="11" t="str">
        <f aca="false">IF(K41="","",K41-Súhrn!$B$3)</f>
        <v/>
      </c>
      <c r="P41" s="9" t="s">
        <v>4</v>
      </c>
      <c r="Q41" s="9"/>
      <c r="R41" s="9" t="s">
        <v>44</v>
      </c>
    </row>
    <row r="42" customFormat="false" ht="15" hidden="false" customHeight="false" outlineLevel="0" collapsed="false">
      <c r="A42" s="9" t="n">
        <v>96</v>
      </c>
      <c r="B42" s="9" t="s">
        <v>13</v>
      </c>
      <c r="C42" s="9" t="s">
        <v>117</v>
      </c>
      <c r="D42" s="9" t="s">
        <v>237</v>
      </c>
      <c r="E42" s="9" t="s">
        <v>231</v>
      </c>
      <c r="F42" s="9" t="s">
        <v>38</v>
      </c>
      <c r="G42" s="9" t="s">
        <v>48</v>
      </c>
      <c r="H42" s="9" t="s">
        <v>238</v>
      </c>
      <c r="I42" s="9" t="s">
        <v>126</v>
      </c>
      <c r="J42" s="9" t="s">
        <v>42</v>
      </c>
      <c r="K42" s="10"/>
      <c r="L42" s="9" t="s">
        <v>236</v>
      </c>
      <c r="M42" s="9" t="s">
        <v>10</v>
      </c>
      <c r="N42" s="9" t="str">
        <f aca="false">IF(K42="",M42,IF(K42&lt;Súhrn!$B$3,"Po uzávierke",IF(M42="Očakávaná","Očakávaná",IF(K42-Súhrn!$B$3&lt;=14,"Končí do 14 dní","Otvorená"))))</f>
        <v>Očakávaná</v>
      </c>
      <c r="O42" s="11" t="str">
        <f aca="false">IF(K42="","",K42-Súhrn!$B$3)</f>
        <v/>
      </c>
      <c r="P42" s="9" t="s">
        <v>4</v>
      </c>
      <c r="Q42" s="9" t="s">
        <v>234</v>
      </c>
      <c r="R42" s="9" t="s">
        <v>44</v>
      </c>
    </row>
    <row r="43" customFormat="false" ht="15" hidden="false" customHeight="false" outlineLevel="0" collapsed="false">
      <c r="A43" s="9" t="n">
        <v>109</v>
      </c>
      <c r="B43" s="12" t="s">
        <v>14</v>
      </c>
      <c r="C43" s="9" t="s">
        <v>182</v>
      </c>
      <c r="D43" s="9" t="s">
        <v>239</v>
      </c>
      <c r="E43" s="9" t="s">
        <v>240</v>
      </c>
      <c r="F43" s="9" t="s">
        <v>38</v>
      </c>
      <c r="G43" s="9" t="s">
        <v>48</v>
      </c>
      <c r="H43" s="9" t="s">
        <v>42</v>
      </c>
      <c r="I43" s="9" t="s">
        <v>241</v>
      </c>
      <c r="J43" s="9" t="s">
        <v>242</v>
      </c>
      <c r="K43" s="10"/>
      <c r="L43" s="9" t="s">
        <v>243</v>
      </c>
      <c r="M43" s="9" t="s">
        <v>9</v>
      </c>
      <c r="N43" s="9" t="str">
        <f aca="false">IF(K43="",M43,IF(K43&lt;Súhrn!$B$3,"Po uzávierke",IF(M43="Očakávaná","Očakávaná",IF(K43-Súhrn!$B$3&lt;=14,"Končí do 14 dní","Otvorená"))))</f>
        <v>Otvorená</v>
      </c>
      <c r="O43" s="11" t="str">
        <f aca="false">IF(K43="","",K43-Súhrn!$B$3)</f>
        <v/>
      </c>
      <c r="P43" s="9" t="s">
        <v>4</v>
      </c>
      <c r="Q43" s="9" t="s">
        <v>244</v>
      </c>
      <c r="R43" s="13" t="s">
        <v>245</v>
      </c>
    </row>
    <row r="44" customFormat="false" ht="23.85" hidden="false" customHeight="false" outlineLevel="0" collapsed="false">
      <c r="A44" s="9" t="n">
        <v>114</v>
      </c>
      <c r="B44" s="12" t="s">
        <v>14</v>
      </c>
      <c r="C44" s="9" t="s">
        <v>246</v>
      </c>
      <c r="D44" s="9" t="s">
        <v>247</v>
      </c>
      <c r="E44" s="9" t="s">
        <v>248</v>
      </c>
      <c r="F44" s="9" t="s">
        <v>178</v>
      </c>
      <c r="G44" s="9" t="s">
        <v>48</v>
      </c>
      <c r="H44" s="9" t="s">
        <v>42</v>
      </c>
      <c r="I44" s="9" t="s">
        <v>42</v>
      </c>
      <c r="J44" s="9" t="s">
        <v>42</v>
      </c>
      <c r="K44" s="10"/>
      <c r="L44" s="9" t="s">
        <v>249</v>
      </c>
      <c r="M44" s="9" t="s">
        <v>9</v>
      </c>
      <c r="N44" s="9" t="str">
        <f aca="false">IF(K44="",M44,IF(K44&lt;Súhrn!$B$3,"Po uzávierke",IF(M44="Očakávaná","Očakávaná",IF(K44-Súhrn!$B$3&lt;=14,"Končí do 14 dní","Otvorená"))))</f>
        <v>Otvorená</v>
      </c>
      <c r="O44" s="11" t="str">
        <f aca="false">IF(K44="","",K44-Súhrn!$B$3)</f>
        <v/>
      </c>
      <c r="P44" s="9" t="s">
        <v>4</v>
      </c>
      <c r="Q44" s="9" t="s">
        <v>250</v>
      </c>
      <c r="R44" s="13" t="s">
        <v>251</v>
      </c>
    </row>
    <row r="45" customFormat="false" ht="15" hidden="false" customHeight="false" outlineLevel="0" collapsed="false">
      <c r="A45" s="9" t="n">
        <v>19</v>
      </c>
      <c r="B45" s="9" t="s">
        <v>13</v>
      </c>
      <c r="C45" s="9" t="s">
        <v>252</v>
      </c>
      <c r="D45" s="9" t="s">
        <v>253</v>
      </c>
      <c r="E45" s="9" t="s">
        <v>254</v>
      </c>
      <c r="F45" s="9" t="s">
        <v>38</v>
      </c>
      <c r="G45" s="9" t="s">
        <v>77</v>
      </c>
      <c r="H45" s="9" t="s">
        <v>255</v>
      </c>
      <c r="I45" s="9" t="s">
        <v>41</v>
      </c>
      <c r="J45" s="9" t="s">
        <v>256</v>
      </c>
      <c r="K45" s="10" t="n">
        <v>46294</v>
      </c>
      <c r="L45" s="9"/>
      <c r="M45" s="9" t="s">
        <v>9</v>
      </c>
      <c r="N45" s="9" t="str">
        <f aca="false">IF(K45="",M45,IF(K45&lt;Súhrn!$B$3,"Po uzávierke",IF(M45="Očakávaná","Očakávaná",IF(K45-Súhrn!$B$3&lt;=14,"Končí do 14 dní","Otvorená"))))</f>
        <v>Končí do 14 dní</v>
      </c>
      <c r="O45" s="11" t="n">
        <f aca="false">IF(K45="","",K45-Súhrn!$B$3)</f>
        <v>4</v>
      </c>
      <c r="P45" s="9" t="s">
        <v>5</v>
      </c>
      <c r="Q45" s="9"/>
      <c r="R45" s="9" t="s">
        <v>44</v>
      </c>
    </row>
    <row r="46" customFormat="false" ht="15" hidden="false" customHeight="false" outlineLevel="0" collapsed="false">
      <c r="A46" s="9" t="n">
        <v>20</v>
      </c>
      <c r="B46" s="9" t="s">
        <v>13</v>
      </c>
      <c r="C46" s="9" t="s">
        <v>252</v>
      </c>
      <c r="D46" s="9" t="s">
        <v>257</v>
      </c>
      <c r="E46" s="9" t="s">
        <v>254</v>
      </c>
      <c r="F46" s="9" t="s">
        <v>38</v>
      </c>
      <c r="G46" s="9" t="s">
        <v>77</v>
      </c>
      <c r="H46" s="9" t="s">
        <v>258</v>
      </c>
      <c r="I46" s="9" t="s">
        <v>42</v>
      </c>
      <c r="J46" s="9" t="s">
        <v>42</v>
      </c>
      <c r="K46" s="10" t="n">
        <v>46294</v>
      </c>
      <c r="L46" s="9"/>
      <c r="M46" s="9" t="s">
        <v>9</v>
      </c>
      <c r="N46" s="9" t="str">
        <f aca="false">IF(K46="",M46,IF(K46&lt;Súhrn!$B$3,"Po uzávierke",IF(M46="Očakávaná","Očakávaná",IF(K46-Súhrn!$B$3&lt;=14,"Končí do 14 dní","Otvorená"))))</f>
        <v>Končí do 14 dní</v>
      </c>
      <c r="O46" s="11" t="n">
        <f aca="false">IF(K46="","",K46-Súhrn!$B$3)</f>
        <v>4</v>
      </c>
      <c r="P46" s="9" t="s">
        <v>5</v>
      </c>
      <c r="Q46" s="9"/>
      <c r="R46" s="9" t="s">
        <v>44</v>
      </c>
    </row>
    <row r="47" customFormat="false" ht="15" hidden="false" customHeight="false" outlineLevel="0" collapsed="false">
      <c r="A47" s="9" t="n">
        <v>21</v>
      </c>
      <c r="B47" s="9" t="s">
        <v>13</v>
      </c>
      <c r="C47" s="9" t="s">
        <v>252</v>
      </c>
      <c r="D47" s="9" t="s">
        <v>259</v>
      </c>
      <c r="E47" s="9" t="s">
        <v>254</v>
      </c>
      <c r="F47" s="9" t="s">
        <v>38</v>
      </c>
      <c r="G47" s="9" t="s">
        <v>77</v>
      </c>
      <c r="H47" s="9" t="s">
        <v>260</v>
      </c>
      <c r="I47" s="9" t="s">
        <v>42</v>
      </c>
      <c r="J47" s="9" t="s">
        <v>42</v>
      </c>
      <c r="K47" s="10" t="n">
        <v>46294</v>
      </c>
      <c r="L47" s="9"/>
      <c r="M47" s="9" t="s">
        <v>9</v>
      </c>
      <c r="N47" s="9" t="str">
        <f aca="false">IF(K47="",M47,IF(K47&lt;Súhrn!$B$3,"Po uzávierke",IF(M47="Očakávaná","Očakávaná",IF(K47-Súhrn!$B$3&lt;=14,"Končí do 14 dní","Otvorená"))))</f>
        <v>Končí do 14 dní</v>
      </c>
      <c r="O47" s="11" t="n">
        <f aca="false">IF(K47="","",K47-Súhrn!$B$3)</f>
        <v>4</v>
      </c>
      <c r="P47" s="9" t="s">
        <v>5</v>
      </c>
      <c r="Q47" s="9"/>
      <c r="R47" s="9" t="s">
        <v>44</v>
      </c>
    </row>
    <row r="48" customFormat="false" ht="15" hidden="false" customHeight="false" outlineLevel="0" collapsed="false">
      <c r="A48" s="9" t="n">
        <v>22</v>
      </c>
      <c r="B48" s="9" t="s">
        <v>13</v>
      </c>
      <c r="C48" s="9" t="s">
        <v>252</v>
      </c>
      <c r="D48" s="9" t="s">
        <v>261</v>
      </c>
      <c r="E48" s="9" t="s">
        <v>254</v>
      </c>
      <c r="F48" s="9" t="s">
        <v>38</v>
      </c>
      <c r="G48" s="9" t="s">
        <v>77</v>
      </c>
      <c r="H48" s="9" t="s">
        <v>262</v>
      </c>
      <c r="I48" s="9" t="s">
        <v>41</v>
      </c>
      <c r="J48" s="9" t="s">
        <v>42</v>
      </c>
      <c r="K48" s="10" t="n">
        <v>46294</v>
      </c>
      <c r="L48" s="9"/>
      <c r="M48" s="9" t="s">
        <v>9</v>
      </c>
      <c r="N48" s="9" t="str">
        <f aca="false">IF(K48="",M48,IF(K48&lt;Súhrn!$B$3,"Po uzávierke",IF(M48="Očakávaná","Očakávaná",IF(K48-Súhrn!$B$3&lt;=14,"Končí do 14 dní","Otvorená"))))</f>
        <v>Končí do 14 dní</v>
      </c>
      <c r="O48" s="11" t="n">
        <f aca="false">IF(K48="","",K48-Súhrn!$B$3)</f>
        <v>4</v>
      </c>
      <c r="P48" s="9" t="s">
        <v>5</v>
      </c>
      <c r="Q48" s="9"/>
      <c r="R48" s="9" t="s">
        <v>44</v>
      </c>
    </row>
    <row r="49" customFormat="false" ht="15" hidden="false" customHeight="false" outlineLevel="0" collapsed="false">
      <c r="A49" s="9" t="n">
        <v>23</v>
      </c>
      <c r="B49" s="9" t="s">
        <v>13</v>
      </c>
      <c r="C49" s="9" t="s">
        <v>263</v>
      </c>
      <c r="D49" s="9" t="s">
        <v>264</v>
      </c>
      <c r="E49" s="9" t="s">
        <v>265</v>
      </c>
      <c r="F49" s="9" t="s">
        <v>266</v>
      </c>
      <c r="G49" s="9" t="s">
        <v>77</v>
      </c>
      <c r="H49" s="9" t="s">
        <v>267</v>
      </c>
      <c r="I49" s="9" t="s">
        <v>42</v>
      </c>
      <c r="J49" s="9" t="s">
        <v>268</v>
      </c>
      <c r="K49" s="10" t="n">
        <v>46294</v>
      </c>
      <c r="L49" s="9"/>
      <c r="M49" s="9" t="s">
        <v>9</v>
      </c>
      <c r="N49" s="9" t="str">
        <f aca="false">IF(K49="",M49,IF(K49&lt;Súhrn!$B$3,"Po uzávierke",IF(M49="Očakávaná","Očakávaná",IF(K49-Súhrn!$B$3&lt;=14,"Končí do 14 dní","Otvorená"))))</f>
        <v>Končí do 14 dní</v>
      </c>
      <c r="O49" s="11" t="n">
        <f aca="false">IF(K49="","",K49-Súhrn!$B$3)</f>
        <v>4</v>
      </c>
      <c r="P49" s="9" t="s">
        <v>5</v>
      </c>
      <c r="Q49" s="9" t="s">
        <v>269</v>
      </c>
      <c r="R49" s="9" t="s">
        <v>44</v>
      </c>
    </row>
    <row r="50" customFormat="false" ht="15" hidden="false" customHeight="false" outlineLevel="0" collapsed="false">
      <c r="A50" s="9" t="n">
        <v>24</v>
      </c>
      <c r="B50" s="9" t="s">
        <v>13</v>
      </c>
      <c r="C50" s="9" t="s">
        <v>252</v>
      </c>
      <c r="D50" s="9" t="s">
        <v>270</v>
      </c>
      <c r="E50" s="9" t="s">
        <v>254</v>
      </c>
      <c r="F50" s="9" t="s">
        <v>38</v>
      </c>
      <c r="G50" s="9" t="s">
        <v>77</v>
      </c>
      <c r="H50" s="9" t="s">
        <v>271</v>
      </c>
      <c r="I50" s="9" t="s">
        <v>42</v>
      </c>
      <c r="J50" s="9" t="s">
        <v>42</v>
      </c>
      <c r="K50" s="10" t="n">
        <v>46294</v>
      </c>
      <c r="L50" s="9"/>
      <c r="M50" s="9" t="s">
        <v>9</v>
      </c>
      <c r="N50" s="9" t="str">
        <f aca="false">IF(K50="",M50,IF(K50&lt;Súhrn!$B$3,"Po uzávierke",IF(M50="Očakávaná","Očakávaná",IF(K50-Súhrn!$B$3&lt;=14,"Končí do 14 dní","Otvorená"))))</f>
        <v>Končí do 14 dní</v>
      </c>
      <c r="O50" s="11" t="n">
        <f aca="false">IF(K50="","",K50-Súhrn!$B$3)</f>
        <v>4</v>
      </c>
      <c r="P50" s="9" t="s">
        <v>5</v>
      </c>
      <c r="Q50" s="9"/>
      <c r="R50" s="9" t="s">
        <v>44</v>
      </c>
    </row>
    <row r="51" customFormat="false" ht="15" hidden="false" customHeight="false" outlineLevel="0" collapsed="false">
      <c r="A51" s="9" t="n">
        <v>25</v>
      </c>
      <c r="B51" s="9" t="s">
        <v>13</v>
      </c>
      <c r="C51" s="9" t="s">
        <v>252</v>
      </c>
      <c r="D51" s="9" t="s">
        <v>272</v>
      </c>
      <c r="E51" s="9" t="s">
        <v>273</v>
      </c>
      <c r="F51" s="9" t="s">
        <v>38</v>
      </c>
      <c r="G51" s="9" t="s">
        <v>77</v>
      </c>
      <c r="H51" s="9" t="s">
        <v>255</v>
      </c>
      <c r="I51" s="9" t="s">
        <v>42</v>
      </c>
      <c r="J51" s="9" t="s">
        <v>42</v>
      </c>
      <c r="K51" s="10" t="n">
        <v>46294</v>
      </c>
      <c r="L51" s="9"/>
      <c r="M51" s="9" t="s">
        <v>9</v>
      </c>
      <c r="N51" s="9" t="str">
        <f aca="false">IF(K51="",M51,IF(K51&lt;Súhrn!$B$3,"Po uzávierke",IF(M51="Očakávaná","Očakávaná",IF(K51-Súhrn!$B$3&lt;=14,"Končí do 14 dní","Otvorená"))))</f>
        <v>Končí do 14 dní</v>
      </c>
      <c r="O51" s="11" t="n">
        <f aca="false">IF(K51="","",K51-Súhrn!$B$3)</f>
        <v>4</v>
      </c>
      <c r="P51" s="9" t="s">
        <v>5</v>
      </c>
      <c r="Q51" s="9"/>
      <c r="R51" s="9" t="s">
        <v>44</v>
      </c>
    </row>
    <row r="52" customFormat="false" ht="15" hidden="false" customHeight="false" outlineLevel="0" collapsed="false">
      <c r="A52" s="9" t="n">
        <v>26</v>
      </c>
      <c r="B52" s="9" t="s">
        <v>13</v>
      </c>
      <c r="C52" s="9" t="s">
        <v>263</v>
      </c>
      <c r="D52" s="9" t="s">
        <v>274</v>
      </c>
      <c r="E52" s="9" t="s">
        <v>275</v>
      </c>
      <c r="F52" s="9" t="s">
        <v>38</v>
      </c>
      <c r="G52" s="9" t="s">
        <v>77</v>
      </c>
      <c r="H52" s="9" t="s">
        <v>276</v>
      </c>
      <c r="I52" s="9" t="s">
        <v>42</v>
      </c>
      <c r="J52" s="9" t="s">
        <v>42</v>
      </c>
      <c r="K52" s="10" t="n">
        <v>46295</v>
      </c>
      <c r="L52" s="9"/>
      <c r="M52" s="9" t="s">
        <v>9</v>
      </c>
      <c r="N52" s="9" t="str">
        <f aca="false">IF(K52="",M52,IF(K52&lt;Súhrn!$B$3,"Po uzávierke",IF(M52="Očakávaná","Očakávaná",IF(K52-Súhrn!$B$3&lt;=14,"Končí do 14 dní","Otvorená"))))</f>
        <v>Končí do 14 dní</v>
      </c>
      <c r="O52" s="11" t="n">
        <f aca="false">IF(K52="","",K52-Súhrn!$B$3)</f>
        <v>5</v>
      </c>
      <c r="P52" s="9" t="s">
        <v>5</v>
      </c>
      <c r="Q52" s="9"/>
      <c r="R52" s="9" t="s">
        <v>44</v>
      </c>
    </row>
    <row r="53" customFormat="false" ht="15" hidden="false" customHeight="false" outlineLevel="0" collapsed="false">
      <c r="A53" s="9" t="n">
        <v>28</v>
      </c>
      <c r="B53" s="9" t="s">
        <v>13</v>
      </c>
      <c r="C53" s="9" t="s">
        <v>277</v>
      </c>
      <c r="D53" s="9" t="s">
        <v>278</v>
      </c>
      <c r="E53" s="9" t="s">
        <v>275</v>
      </c>
      <c r="F53" s="9" t="s">
        <v>38</v>
      </c>
      <c r="G53" s="9" t="s">
        <v>77</v>
      </c>
      <c r="H53" s="9" t="s">
        <v>279</v>
      </c>
      <c r="I53" s="9" t="s">
        <v>41</v>
      </c>
      <c r="J53" s="9" t="s">
        <v>42</v>
      </c>
      <c r="K53" s="10" t="n">
        <v>46296</v>
      </c>
      <c r="L53" s="9"/>
      <c r="M53" s="9" t="s">
        <v>9</v>
      </c>
      <c r="N53" s="9" t="str">
        <f aca="false">IF(K53="",M53,IF(K53&lt;Súhrn!$B$3,"Po uzávierke",IF(M53="Očakávaná","Očakávaná",IF(K53-Súhrn!$B$3&lt;=14,"Končí do 14 dní","Otvorená"))))</f>
        <v>Končí do 14 dní</v>
      </c>
      <c r="O53" s="11" t="n">
        <f aca="false">IF(K53="","",K53-Súhrn!$B$3)</f>
        <v>6</v>
      </c>
      <c r="P53" s="9" t="s">
        <v>5</v>
      </c>
      <c r="Q53" s="9"/>
      <c r="R53" s="9" t="s">
        <v>44</v>
      </c>
    </row>
    <row r="54" customFormat="false" ht="15" hidden="false" customHeight="false" outlineLevel="0" collapsed="false">
      <c r="A54" s="9" t="n">
        <v>29</v>
      </c>
      <c r="B54" s="9" t="s">
        <v>13</v>
      </c>
      <c r="C54" s="9" t="s">
        <v>277</v>
      </c>
      <c r="D54" s="9" t="s">
        <v>280</v>
      </c>
      <c r="E54" s="9" t="s">
        <v>281</v>
      </c>
      <c r="F54" s="9" t="s">
        <v>38</v>
      </c>
      <c r="G54" s="9" t="s">
        <v>77</v>
      </c>
      <c r="H54" s="9" t="s">
        <v>282</v>
      </c>
      <c r="I54" s="9" t="s">
        <v>41</v>
      </c>
      <c r="J54" s="9" t="s">
        <v>42</v>
      </c>
      <c r="K54" s="10" t="n">
        <v>46296</v>
      </c>
      <c r="L54" s="9"/>
      <c r="M54" s="9" t="s">
        <v>9</v>
      </c>
      <c r="N54" s="9" t="str">
        <f aca="false">IF(K54="",M54,IF(K54&lt;Súhrn!$B$3,"Po uzávierke",IF(M54="Očakávaná","Očakávaná",IF(K54-Súhrn!$B$3&lt;=14,"Končí do 14 dní","Otvorená"))))</f>
        <v>Končí do 14 dní</v>
      </c>
      <c r="O54" s="11" t="n">
        <f aca="false">IF(K54="","",K54-Súhrn!$B$3)</f>
        <v>6</v>
      </c>
      <c r="P54" s="9" t="s">
        <v>5</v>
      </c>
      <c r="Q54" s="9"/>
      <c r="R54" s="9" t="s">
        <v>44</v>
      </c>
    </row>
    <row r="55" customFormat="false" ht="15" hidden="false" customHeight="false" outlineLevel="0" collapsed="false">
      <c r="A55" s="9" t="n">
        <v>30</v>
      </c>
      <c r="B55" s="9" t="s">
        <v>13</v>
      </c>
      <c r="C55" s="9" t="s">
        <v>277</v>
      </c>
      <c r="D55" s="9" t="s">
        <v>283</v>
      </c>
      <c r="E55" s="9" t="s">
        <v>275</v>
      </c>
      <c r="F55" s="9" t="s">
        <v>38</v>
      </c>
      <c r="G55" s="9" t="s">
        <v>77</v>
      </c>
      <c r="H55" s="9" t="s">
        <v>284</v>
      </c>
      <c r="I55" s="9" t="s">
        <v>42</v>
      </c>
      <c r="J55" s="9" t="s">
        <v>42</v>
      </c>
      <c r="K55" s="10" t="n">
        <v>46296</v>
      </c>
      <c r="L55" s="9"/>
      <c r="M55" s="9" t="s">
        <v>9</v>
      </c>
      <c r="N55" s="9" t="str">
        <f aca="false">IF(K55="",M55,IF(K55&lt;Súhrn!$B$3,"Po uzávierke",IF(M55="Očakávaná","Očakávaná",IF(K55-Súhrn!$B$3&lt;=14,"Končí do 14 dní","Otvorená"))))</f>
        <v>Končí do 14 dní</v>
      </c>
      <c r="O55" s="11" t="n">
        <f aca="false">IF(K55="","",K55-Súhrn!$B$3)</f>
        <v>6</v>
      </c>
      <c r="P55" s="9" t="s">
        <v>5</v>
      </c>
      <c r="Q55" s="9"/>
      <c r="R55" s="9" t="s">
        <v>44</v>
      </c>
    </row>
    <row r="56" customFormat="false" ht="23.85" hidden="false" customHeight="false" outlineLevel="0" collapsed="false">
      <c r="A56" s="9" t="n">
        <v>31</v>
      </c>
      <c r="B56" s="9" t="s">
        <v>13</v>
      </c>
      <c r="C56" s="9" t="s">
        <v>285</v>
      </c>
      <c r="D56" s="9" t="s">
        <v>286</v>
      </c>
      <c r="E56" s="9" t="s">
        <v>275</v>
      </c>
      <c r="F56" s="9" t="s">
        <v>38</v>
      </c>
      <c r="G56" s="9" t="s">
        <v>77</v>
      </c>
      <c r="H56" s="9" t="s">
        <v>287</v>
      </c>
      <c r="I56" s="9" t="s">
        <v>126</v>
      </c>
      <c r="J56" s="9" t="s">
        <v>42</v>
      </c>
      <c r="K56" s="10" t="n">
        <v>46301</v>
      </c>
      <c r="L56" s="9"/>
      <c r="M56" s="9" t="s">
        <v>9</v>
      </c>
      <c r="N56" s="9" t="str">
        <f aca="false">IF(K56="",M56,IF(K56&lt;Súhrn!$B$3,"Po uzávierke",IF(M56="Očakávaná","Očakávaná",IF(K56-Súhrn!$B$3&lt;=14,"Končí do 14 dní","Otvorená"))))</f>
        <v>Končí do 14 dní</v>
      </c>
      <c r="O56" s="11" t="n">
        <f aca="false">IF(K56="","",K56-Súhrn!$B$3)</f>
        <v>11</v>
      </c>
      <c r="P56" s="9" t="s">
        <v>5</v>
      </c>
      <c r="Q56" s="9"/>
      <c r="R56" s="9" t="s">
        <v>44</v>
      </c>
    </row>
    <row r="57" customFormat="false" ht="15" hidden="false" customHeight="false" outlineLevel="0" collapsed="false">
      <c r="A57" s="9" t="n">
        <v>32</v>
      </c>
      <c r="B57" s="9" t="s">
        <v>13</v>
      </c>
      <c r="C57" s="9" t="s">
        <v>288</v>
      </c>
      <c r="D57" s="9" t="s">
        <v>289</v>
      </c>
      <c r="E57" s="9" t="s">
        <v>290</v>
      </c>
      <c r="F57" s="9" t="s">
        <v>38</v>
      </c>
      <c r="G57" s="9" t="s">
        <v>77</v>
      </c>
      <c r="H57" s="9" t="s">
        <v>291</v>
      </c>
      <c r="I57" s="9" t="s">
        <v>42</v>
      </c>
      <c r="J57" s="9" t="s">
        <v>42</v>
      </c>
      <c r="K57" s="10" t="n">
        <v>46301</v>
      </c>
      <c r="L57" s="9"/>
      <c r="M57" s="9" t="s">
        <v>9</v>
      </c>
      <c r="N57" s="9" t="str">
        <f aca="false">IF(K57="",M57,IF(K57&lt;Súhrn!$B$3,"Po uzávierke",IF(M57="Očakávaná","Očakávaná",IF(K57-Súhrn!$B$3&lt;=14,"Končí do 14 dní","Otvorená"))))</f>
        <v>Končí do 14 dní</v>
      </c>
      <c r="O57" s="11" t="n">
        <f aca="false">IF(K57="","",K57-Súhrn!$B$3)</f>
        <v>11</v>
      </c>
      <c r="P57" s="9" t="s">
        <v>5</v>
      </c>
      <c r="Q57" s="9"/>
      <c r="R57" s="9" t="s">
        <v>44</v>
      </c>
    </row>
    <row r="58" customFormat="false" ht="15" hidden="false" customHeight="false" outlineLevel="0" collapsed="false">
      <c r="A58" s="9" t="n">
        <v>33</v>
      </c>
      <c r="B58" s="9" t="s">
        <v>13</v>
      </c>
      <c r="C58" s="9" t="s">
        <v>288</v>
      </c>
      <c r="D58" s="9" t="s">
        <v>292</v>
      </c>
      <c r="E58" s="9" t="s">
        <v>290</v>
      </c>
      <c r="F58" s="9" t="s">
        <v>38</v>
      </c>
      <c r="G58" s="9" t="s">
        <v>77</v>
      </c>
      <c r="H58" s="9" t="s">
        <v>293</v>
      </c>
      <c r="I58" s="9" t="s">
        <v>42</v>
      </c>
      <c r="J58" s="9" t="s">
        <v>42</v>
      </c>
      <c r="K58" s="10" t="n">
        <v>46301</v>
      </c>
      <c r="L58" s="9"/>
      <c r="M58" s="9" t="s">
        <v>9</v>
      </c>
      <c r="N58" s="9" t="str">
        <f aca="false">IF(K58="",M58,IF(K58&lt;Súhrn!$B$3,"Po uzávierke",IF(M58="Očakávaná","Očakávaná",IF(K58-Súhrn!$B$3&lt;=14,"Končí do 14 dní","Otvorená"))))</f>
        <v>Končí do 14 dní</v>
      </c>
      <c r="O58" s="11" t="n">
        <f aca="false">IF(K58="","",K58-Súhrn!$B$3)</f>
        <v>11</v>
      </c>
      <c r="P58" s="9" t="s">
        <v>5</v>
      </c>
      <c r="Q58" s="9"/>
      <c r="R58" s="9" t="s">
        <v>44</v>
      </c>
    </row>
    <row r="59" customFormat="false" ht="15" hidden="false" customHeight="false" outlineLevel="0" collapsed="false">
      <c r="A59" s="9" t="n">
        <v>34</v>
      </c>
      <c r="B59" s="9" t="s">
        <v>13</v>
      </c>
      <c r="C59" s="9" t="s">
        <v>288</v>
      </c>
      <c r="D59" s="9" t="s">
        <v>294</v>
      </c>
      <c r="E59" s="9" t="s">
        <v>290</v>
      </c>
      <c r="F59" s="9" t="s">
        <v>38</v>
      </c>
      <c r="G59" s="9" t="s">
        <v>77</v>
      </c>
      <c r="H59" s="9" t="s">
        <v>295</v>
      </c>
      <c r="I59" s="9" t="s">
        <v>42</v>
      </c>
      <c r="J59" s="9" t="s">
        <v>42</v>
      </c>
      <c r="K59" s="10" t="n">
        <v>46301</v>
      </c>
      <c r="L59" s="9"/>
      <c r="M59" s="9" t="s">
        <v>9</v>
      </c>
      <c r="N59" s="9" t="str">
        <f aca="false">IF(K59="",M59,IF(K59&lt;Súhrn!$B$3,"Po uzávierke",IF(M59="Očakávaná","Očakávaná",IF(K59-Súhrn!$B$3&lt;=14,"Končí do 14 dní","Otvorená"))))</f>
        <v>Končí do 14 dní</v>
      </c>
      <c r="O59" s="11" t="n">
        <f aca="false">IF(K59="","",K59-Súhrn!$B$3)</f>
        <v>11</v>
      </c>
      <c r="P59" s="9" t="s">
        <v>5</v>
      </c>
      <c r="Q59" s="9"/>
      <c r="R59" s="9" t="s">
        <v>44</v>
      </c>
    </row>
    <row r="60" customFormat="false" ht="23.85" hidden="false" customHeight="false" outlineLevel="0" collapsed="false">
      <c r="A60" s="9" t="n">
        <v>35</v>
      </c>
      <c r="B60" s="9" t="s">
        <v>13</v>
      </c>
      <c r="C60" s="9" t="s">
        <v>288</v>
      </c>
      <c r="D60" s="9" t="s">
        <v>296</v>
      </c>
      <c r="E60" s="9" t="s">
        <v>297</v>
      </c>
      <c r="F60" s="9" t="s">
        <v>38</v>
      </c>
      <c r="G60" s="9" t="s">
        <v>77</v>
      </c>
      <c r="H60" s="9" t="s">
        <v>298</v>
      </c>
      <c r="I60" s="9" t="s">
        <v>42</v>
      </c>
      <c r="J60" s="9" t="s">
        <v>299</v>
      </c>
      <c r="K60" s="10" t="n">
        <v>46301</v>
      </c>
      <c r="L60" s="9"/>
      <c r="M60" s="9" t="s">
        <v>9</v>
      </c>
      <c r="N60" s="9" t="str">
        <f aca="false">IF(K60="",M60,IF(K60&lt;Súhrn!$B$3,"Po uzávierke",IF(M60="Očakávaná","Očakávaná",IF(K60-Súhrn!$B$3&lt;=14,"Končí do 14 dní","Otvorená"))))</f>
        <v>Končí do 14 dní</v>
      </c>
      <c r="O60" s="11" t="n">
        <f aca="false">IF(K60="","",K60-Súhrn!$B$3)</f>
        <v>11</v>
      </c>
      <c r="P60" s="9" t="s">
        <v>5</v>
      </c>
      <c r="Q60" s="9"/>
      <c r="R60" s="9" t="s">
        <v>44</v>
      </c>
    </row>
    <row r="61" customFormat="false" ht="15" hidden="false" customHeight="false" outlineLevel="0" collapsed="false">
      <c r="A61" s="9" t="n">
        <v>36</v>
      </c>
      <c r="B61" s="9" t="s">
        <v>13</v>
      </c>
      <c r="C61" s="9" t="s">
        <v>288</v>
      </c>
      <c r="D61" s="9" t="s">
        <v>300</v>
      </c>
      <c r="E61" s="9" t="s">
        <v>290</v>
      </c>
      <c r="F61" s="9" t="s">
        <v>38</v>
      </c>
      <c r="G61" s="9" t="s">
        <v>77</v>
      </c>
      <c r="H61" s="9" t="s">
        <v>293</v>
      </c>
      <c r="I61" s="9" t="s">
        <v>42</v>
      </c>
      <c r="J61" s="9" t="s">
        <v>42</v>
      </c>
      <c r="K61" s="10" t="n">
        <v>46301</v>
      </c>
      <c r="L61" s="9"/>
      <c r="M61" s="9" t="s">
        <v>9</v>
      </c>
      <c r="N61" s="9" t="str">
        <f aca="false">IF(K61="",M61,IF(K61&lt;Súhrn!$B$3,"Po uzávierke",IF(M61="Očakávaná","Očakávaná",IF(K61-Súhrn!$B$3&lt;=14,"Končí do 14 dní","Otvorená"))))</f>
        <v>Končí do 14 dní</v>
      </c>
      <c r="O61" s="11" t="n">
        <f aca="false">IF(K61="","",K61-Súhrn!$B$3)</f>
        <v>11</v>
      </c>
      <c r="P61" s="9" t="s">
        <v>5</v>
      </c>
      <c r="Q61" s="9"/>
      <c r="R61" s="9" t="s">
        <v>44</v>
      </c>
    </row>
    <row r="62" customFormat="false" ht="23.85" hidden="false" customHeight="false" outlineLevel="0" collapsed="false">
      <c r="A62" s="9" t="n">
        <v>37</v>
      </c>
      <c r="B62" s="9" t="s">
        <v>13</v>
      </c>
      <c r="C62" s="9" t="s">
        <v>288</v>
      </c>
      <c r="D62" s="9" t="s">
        <v>301</v>
      </c>
      <c r="E62" s="9" t="s">
        <v>290</v>
      </c>
      <c r="F62" s="9" t="s">
        <v>38</v>
      </c>
      <c r="G62" s="9" t="s">
        <v>77</v>
      </c>
      <c r="H62" s="9" t="s">
        <v>302</v>
      </c>
      <c r="I62" s="9" t="s">
        <v>42</v>
      </c>
      <c r="J62" s="9" t="s">
        <v>42</v>
      </c>
      <c r="K62" s="10" t="n">
        <v>46301</v>
      </c>
      <c r="L62" s="9"/>
      <c r="M62" s="9" t="s">
        <v>9</v>
      </c>
      <c r="N62" s="9" t="str">
        <f aca="false">IF(K62="",M62,IF(K62&lt;Súhrn!$B$3,"Po uzávierke",IF(M62="Očakávaná","Očakávaná",IF(K62-Súhrn!$B$3&lt;=14,"Končí do 14 dní","Otvorená"))))</f>
        <v>Končí do 14 dní</v>
      </c>
      <c r="O62" s="11" t="n">
        <f aca="false">IF(K62="","",K62-Súhrn!$B$3)</f>
        <v>11</v>
      </c>
      <c r="P62" s="9" t="s">
        <v>5</v>
      </c>
      <c r="Q62" s="9"/>
      <c r="R62" s="9" t="s">
        <v>44</v>
      </c>
    </row>
    <row r="63" customFormat="false" ht="15" hidden="false" customHeight="false" outlineLevel="0" collapsed="false">
      <c r="A63" s="9" t="n">
        <v>38</v>
      </c>
      <c r="B63" s="9" t="s">
        <v>13</v>
      </c>
      <c r="C63" s="9" t="s">
        <v>263</v>
      </c>
      <c r="D63" s="9" t="s">
        <v>303</v>
      </c>
      <c r="E63" s="9" t="s">
        <v>275</v>
      </c>
      <c r="F63" s="9" t="s">
        <v>38</v>
      </c>
      <c r="G63" s="9" t="s">
        <v>77</v>
      </c>
      <c r="H63" s="9" t="s">
        <v>304</v>
      </c>
      <c r="I63" s="9" t="s">
        <v>42</v>
      </c>
      <c r="J63" s="9" t="s">
        <v>42</v>
      </c>
      <c r="K63" s="10" t="n">
        <v>46303</v>
      </c>
      <c r="L63" s="9"/>
      <c r="M63" s="9" t="s">
        <v>9</v>
      </c>
      <c r="N63" s="9" t="str">
        <f aca="false">IF(K63="",M63,IF(K63&lt;Súhrn!$B$3,"Po uzávierke",IF(M63="Očakávaná","Očakávaná",IF(K63-Súhrn!$B$3&lt;=14,"Končí do 14 dní","Otvorená"))))</f>
        <v>Končí do 14 dní</v>
      </c>
      <c r="O63" s="11" t="n">
        <f aca="false">IF(K63="","",K63-Súhrn!$B$3)</f>
        <v>13</v>
      </c>
      <c r="P63" s="9" t="s">
        <v>5</v>
      </c>
      <c r="Q63" s="9" t="s">
        <v>305</v>
      </c>
      <c r="R63" s="9" t="s">
        <v>44</v>
      </c>
    </row>
    <row r="64" customFormat="false" ht="15" hidden="false" customHeight="false" outlineLevel="0" collapsed="false">
      <c r="A64" s="9" t="n">
        <v>39</v>
      </c>
      <c r="B64" s="9" t="s">
        <v>13</v>
      </c>
      <c r="C64" s="9" t="s">
        <v>45</v>
      </c>
      <c r="D64" s="9" t="s">
        <v>306</v>
      </c>
      <c r="E64" s="9" t="s">
        <v>307</v>
      </c>
      <c r="F64" s="9" t="s">
        <v>38</v>
      </c>
      <c r="G64" s="9" t="s">
        <v>77</v>
      </c>
      <c r="H64" s="9" t="s">
        <v>308</v>
      </c>
      <c r="I64" s="9" t="s">
        <v>126</v>
      </c>
      <c r="J64" s="9" t="s">
        <v>309</v>
      </c>
      <c r="K64" s="10" t="n">
        <v>46303</v>
      </c>
      <c r="L64" s="9"/>
      <c r="M64" s="9" t="s">
        <v>9</v>
      </c>
      <c r="N64" s="9" t="str">
        <f aca="false">IF(K64="",M64,IF(K64&lt;Súhrn!$B$3,"Po uzávierke",IF(M64="Očakávaná","Očakávaná",IF(K64-Súhrn!$B$3&lt;=14,"Končí do 14 dní","Otvorená"))))</f>
        <v>Končí do 14 dní</v>
      </c>
      <c r="O64" s="11" t="n">
        <f aca="false">IF(K64="","",K64-Súhrn!$B$3)</f>
        <v>13</v>
      </c>
      <c r="P64" s="9" t="s">
        <v>5</v>
      </c>
      <c r="Q64" s="9" t="s">
        <v>310</v>
      </c>
      <c r="R64" s="9" t="s">
        <v>44</v>
      </c>
    </row>
    <row r="65" customFormat="false" ht="23.85" hidden="false" customHeight="false" outlineLevel="0" collapsed="false">
      <c r="A65" s="9" t="n">
        <v>40</v>
      </c>
      <c r="B65" s="9" t="s">
        <v>13</v>
      </c>
      <c r="C65" s="9" t="s">
        <v>285</v>
      </c>
      <c r="D65" s="9" t="s">
        <v>311</v>
      </c>
      <c r="E65" s="9" t="s">
        <v>275</v>
      </c>
      <c r="F65" s="9" t="s">
        <v>38</v>
      </c>
      <c r="G65" s="9" t="s">
        <v>77</v>
      </c>
      <c r="H65" s="9" t="s">
        <v>312</v>
      </c>
      <c r="I65" s="9" t="s">
        <v>42</v>
      </c>
      <c r="J65" s="9" t="s">
        <v>42</v>
      </c>
      <c r="K65" s="10" t="n">
        <v>46303</v>
      </c>
      <c r="L65" s="9"/>
      <c r="M65" s="9" t="s">
        <v>9</v>
      </c>
      <c r="N65" s="9" t="str">
        <f aca="false">IF(K65="",M65,IF(K65&lt;Súhrn!$B$3,"Po uzávierke",IF(M65="Očakávaná","Očakávaná",IF(K65-Súhrn!$B$3&lt;=14,"Končí do 14 dní","Otvorená"))))</f>
        <v>Končí do 14 dní</v>
      </c>
      <c r="O65" s="11" t="n">
        <f aca="false">IF(K65="","",K65-Súhrn!$B$3)</f>
        <v>13</v>
      </c>
      <c r="P65" s="9" t="s">
        <v>5</v>
      </c>
      <c r="Q65" s="9"/>
      <c r="R65" s="9" t="s">
        <v>44</v>
      </c>
    </row>
    <row r="66" customFormat="false" ht="23.85" hidden="false" customHeight="false" outlineLevel="0" collapsed="false">
      <c r="A66" s="9" t="n">
        <v>41</v>
      </c>
      <c r="B66" s="9" t="s">
        <v>13</v>
      </c>
      <c r="C66" s="9" t="s">
        <v>263</v>
      </c>
      <c r="D66" s="9" t="s">
        <v>313</v>
      </c>
      <c r="E66" s="9" t="s">
        <v>314</v>
      </c>
      <c r="F66" s="9" t="s">
        <v>38</v>
      </c>
      <c r="G66" s="9" t="s">
        <v>77</v>
      </c>
      <c r="H66" s="9" t="s">
        <v>315</v>
      </c>
      <c r="I66" s="9" t="s">
        <v>139</v>
      </c>
      <c r="J66" s="9" t="s">
        <v>42</v>
      </c>
      <c r="K66" s="10" t="n">
        <v>46308</v>
      </c>
      <c r="L66" s="9"/>
      <c r="M66" s="9" t="s">
        <v>9</v>
      </c>
      <c r="N66" s="9" t="str">
        <f aca="false">IF(K66="",M66,IF(K66&lt;Súhrn!$B$3,"Po uzávierke",IF(M66="Očakávaná","Očakávaná",IF(K66-Súhrn!$B$3&lt;=14,"Končí do 14 dní","Otvorená"))))</f>
        <v>Otvorená</v>
      </c>
      <c r="O66" s="11" t="n">
        <f aca="false">IF(K66="","",K66-Súhrn!$B$3)</f>
        <v>18</v>
      </c>
      <c r="P66" s="9" t="s">
        <v>5</v>
      </c>
      <c r="Q66" s="9"/>
      <c r="R66" s="9" t="s">
        <v>44</v>
      </c>
    </row>
    <row r="67" customFormat="false" ht="15" hidden="false" customHeight="false" outlineLevel="0" collapsed="false">
      <c r="A67" s="9" t="n">
        <v>42</v>
      </c>
      <c r="B67" s="9" t="s">
        <v>13</v>
      </c>
      <c r="C67" s="9" t="s">
        <v>316</v>
      </c>
      <c r="D67" s="9" t="s">
        <v>317</v>
      </c>
      <c r="E67" s="9" t="s">
        <v>318</v>
      </c>
      <c r="F67" s="9" t="s">
        <v>38</v>
      </c>
      <c r="G67" s="9" t="s">
        <v>77</v>
      </c>
      <c r="H67" s="9" t="s">
        <v>42</v>
      </c>
      <c r="I67" s="9" t="s">
        <v>42</v>
      </c>
      <c r="J67" s="9" t="s">
        <v>42</v>
      </c>
      <c r="K67" s="10" t="n">
        <v>46310</v>
      </c>
      <c r="L67" s="9"/>
      <c r="M67" s="9" t="s">
        <v>9</v>
      </c>
      <c r="N67" s="9" t="str">
        <f aca="false">IF(K67="",M67,IF(K67&lt;Súhrn!$B$3,"Po uzávierke",IF(M67="Očakávaná","Očakávaná",IF(K67-Súhrn!$B$3&lt;=14,"Končí do 14 dní","Otvorená"))))</f>
        <v>Otvorená</v>
      </c>
      <c r="O67" s="11" t="n">
        <f aca="false">IF(K67="","",K67-Súhrn!$B$3)</f>
        <v>20</v>
      </c>
      <c r="P67" s="9" t="s">
        <v>5</v>
      </c>
      <c r="Q67" s="9"/>
      <c r="R67" s="9" t="s">
        <v>44</v>
      </c>
    </row>
    <row r="68" customFormat="false" ht="15" hidden="false" customHeight="false" outlineLevel="0" collapsed="false">
      <c r="A68" s="9" t="n">
        <v>43</v>
      </c>
      <c r="B68" s="9" t="s">
        <v>13</v>
      </c>
      <c r="C68" s="9" t="s">
        <v>319</v>
      </c>
      <c r="D68" s="9" t="s">
        <v>320</v>
      </c>
      <c r="E68" s="9" t="s">
        <v>275</v>
      </c>
      <c r="F68" s="9" t="s">
        <v>38</v>
      </c>
      <c r="G68" s="9" t="s">
        <v>77</v>
      </c>
      <c r="H68" s="9" t="s">
        <v>321</v>
      </c>
      <c r="I68" s="9" t="s">
        <v>42</v>
      </c>
      <c r="J68" s="9" t="s">
        <v>42</v>
      </c>
      <c r="K68" s="10" t="n">
        <v>46310</v>
      </c>
      <c r="L68" s="9"/>
      <c r="M68" s="9" t="s">
        <v>9</v>
      </c>
      <c r="N68" s="9" t="str">
        <f aca="false">IF(K68="",M68,IF(K68&lt;Súhrn!$B$3,"Po uzávierke",IF(M68="Očakávaná","Očakávaná",IF(K68-Súhrn!$B$3&lt;=14,"Končí do 14 dní","Otvorená"))))</f>
        <v>Otvorená</v>
      </c>
      <c r="O68" s="11" t="n">
        <f aca="false">IF(K68="","",K68-Súhrn!$B$3)</f>
        <v>20</v>
      </c>
      <c r="P68" s="9" t="s">
        <v>5</v>
      </c>
      <c r="Q68" s="9"/>
      <c r="R68" s="9" t="s">
        <v>44</v>
      </c>
    </row>
    <row r="69" customFormat="false" ht="15" hidden="false" customHeight="false" outlineLevel="0" collapsed="false">
      <c r="A69" s="9" t="n">
        <v>45</v>
      </c>
      <c r="B69" s="9" t="s">
        <v>13</v>
      </c>
      <c r="C69" s="9" t="s">
        <v>167</v>
      </c>
      <c r="D69" s="9" t="s">
        <v>322</v>
      </c>
      <c r="E69" s="9" t="s">
        <v>323</v>
      </c>
      <c r="F69" s="9" t="s">
        <v>221</v>
      </c>
      <c r="G69" s="9" t="s">
        <v>77</v>
      </c>
      <c r="H69" s="9" t="s">
        <v>258</v>
      </c>
      <c r="I69" s="9" t="s">
        <v>42</v>
      </c>
      <c r="J69" s="9" t="s">
        <v>255</v>
      </c>
      <c r="K69" s="10" t="n">
        <v>46323</v>
      </c>
      <c r="L69" s="9"/>
      <c r="M69" s="9" t="s">
        <v>9</v>
      </c>
      <c r="N69" s="9" t="str">
        <f aca="false">IF(K69="",M69,IF(K69&lt;Súhrn!$B$3,"Po uzávierke",IF(M69="Očakávaná","Očakávaná",IF(K69-Súhrn!$B$3&lt;=14,"Končí do 14 dní","Otvorená"))))</f>
        <v>Otvorená</v>
      </c>
      <c r="O69" s="11" t="n">
        <f aca="false">IF(K69="","",K69-Súhrn!$B$3)</f>
        <v>33</v>
      </c>
      <c r="P69" s="9" t="s">
        <v>5</v>
      </c>
      <c r="Q69" s="9"/>
      <c r="R69" s="9" t="s">
        <v>44</v>
      </c>
    </row>
    <row r="70" customFormat="false" ht="15" hidden="false" customHeight="false" outlineLevel="0" collapsed="false">
      <c r="A70" s="9" t="n">
        <v>49</v>
      </c>
      <c r="B70" s="9" t="s">
        <v>13</v>
      </c>
      <c r="C70" s="9" t="s">
        <v>263</v>
      </c>
      <c r="D70" s="9" t="s">
        <v>324</v>
      </c>
      <c r="E70" s="9" t="s">
        <v>275</v>
      </c>
      <c r="F70" s="9" t="s">
        <v>38</v>
      </c>
      <c r="G70" s="9" t="s">
        <v>77</v>
      </c>
      <c r="H70" s="9" t="s">
        <v>325</v>
      </c>
      <c r="I70" s="9" t="s">
        <v>41</v>
      </c>
      <c r="J70" s="9" t="s">
        <v>279</v>
      </c>
      <c r="K70" s="10" t="n">
        <v>46331</v>
      </c>
      <c r="L70" s="9"/>
      <c r="M70" s="9" t="s">
        <v>9</v>
      </c>
      <c r="N70" s="9" t="str">
        <f aca="false">IF(K70="",M70,IF(K70&lt;Súhrn!$B$3,"Po uzávierke",IF(M70="Očakávaná","Očakávaná",IF(K70-Súhrn!$B$3&lt;=14,"Končí do 14 dní","Otvorená"))))</f>
        <v>Otvorená</v>
      </c>
      <c r="O70" s="11" t="n">
        <f aca="false">IF(K70="","",K70-Súhrn!$B$3)</f>
        <v>41</v>
      </c>
      <c r="P70" s="9" t="s">
        <v>5</v>
      </c>
      <c r="Q70" s="9"/>
      <c r="R70" s="9" t="s">
        <v>44</v>
      </c>
    </row>
    <row r="71" customFormat="false" ht="15" hidden="false" customHeight="false" outlineLevel="0" collapsed="false">
      <c r="A71" s="9" t="n">
        <v>99</v>
      </c>
      <c r="B71" s="9" t="s">
        <v>13</v>
      </c>
      <c r="C71" s="9" t="s">
        <v>60</v>
      </c>
      <c r="D71" s="9" t="s">
        <v>326</v>
      </c>
      <c r="E71" s="9" t="s">
        <v>153</v>
      </c>
      <c r="F71" s="9" t="s">
        <v>38</v>
      </c>
      <c r="G71" s="9" t="s">
        <v>63</v>
      </c>
      <c r="H71" s="9" t="s">
        <v>327</v>
      </c>
      <c r="I71" s="9" t="s">
        <v>41</v>
      </c>
      <c r="J71" s="9" t="s">
        <v>328</v>
      </c>
      <c r="K71" s="10" t="n">
        <v>46331</v>
      </c>
      <c r="L71" s="9"/>
      <c r="M71" s="9" t="s">
        <v>10</v>
      </c>
      <c r="N71" s="9" t="str">
        <f aca="false">IF(K71="",M71,IF(K71&lt;Súhrn!$B$3,"Po uzávierke",IF(M71="Očakávaná","Očakávaná",IF(K71-Súhrn!$B$3&lt;=14,"Končí do 14 dní","Otvorená"))))</f>
        <v>Očakávaná</v>
      </c>
      <c r="O71" s="11" t="n">
        <f aca="false">IF(K71="","",K71-Súhrn!$B$3)</f>
        <v>41</v>
      </c>
      <c r="P71" s="9" t="s">
        <v>5</v>
      </c>
      <c r="Q71" s="9"/>
      <c r="R71" s="9" t="s">
        <v>44</v>
      </c>
    </row>
    <row r="72" customFormat="false" ht="15" hidden="false" customHeight="false" outlineLevel="0" collapsed="false">
      <c r="A72" s="9" t="n">
        <v>100</v>
      </c>
      <c r="B72" s="9" t="s">
        <v>13</v>
      </c>
      <c r="C72" s="9" t="s">
        <v>60</v>
      </c>
      <c r="D72" s="9" t="s">
        <v>329</v>
      </c>
      <c r="E72" s="9" t="s">
        <v>153</v>
      </c>
      <c r="F72" s="9" t="s">
        <v>38</v>
      </c>
      <c r="G72" s="9" t="s">
        <v>63</v>
      </c>
      <c r="H72" s="9" t="s">
        <v>330</v>
      </c>
      <c r="I72" s="9" t="s">
        <v>41</v>
      </c>
      <c r="J72" s="9" t="s">
        <v>328</v>
      </c>
      <c r="K72" s="10" t="n">
        <v>46331</v>
      </c>
      <c r="L72" s="9"/>
      <c r="M72" s="9" t="s">
        <v>10</v>
      </c>
      <c r="N72" s="9" t="str">
        <f aca="false">IF(K72="",M72,IF(K72&lt;Súhrn!$B$3,"Po uzávierke",IF(M72="Očakávaná","Očakávaná",IF(K72-Súhrn!$B$3&lt;=14,"Končí do 14 dní","Otvorená"))))</f>
        <v>Očakávaná</v>
      </c>
      <c r="O72" s="11" t="n">
        <f aca="false">IF(K72="","",K72-Súhrn!$B$3)</f>
        <v>41</v>
      </c>
      <c r="P72" s="9" t="s">
        <v>5</v>
      </c>
      <c r="Q72" s="9"/>
      <c r="R72" s="9" t="s">
        <v>44</v>
      </c>
    </row>
    <row r="73" customFormat="false" ht="15" hidden="false" customHeight="false" outlineLevel="0" collapsed="false">
      <c r="A73" s="9" t="n">
        <v>51</v>
      </c>
      <c r="B73" s="9" t="s">
        <v>13</v>
      </c>
      <c r="C73" s="9" t="s">
        <v>331</v>
      </c>
      <c r="D73" s="9" t="s">
        <v>332</v>
      </c>
      <c r="E73" s="9" t="s">
        <v>333</v>
      </c>
      <c r="F73" s="9" t="s">
        <v>38</v>
      </c>
      <c r="G73" s="9" t="s">
        <v>77</v>
      </c>
      <c r="H73" s="9" t="s">
        <v>276</v>
      </c>
      <c r="I73" s="9" t="s">
        <v>126</v>
      </c>
      <c r="J73" s="9" t="s">
        <v>334</v>
      </c>
      <c r="K73" s="10" t="n">
        <v>46336</v>
      </c>
      <c r="L73" s="9"/>
      <c r="M73" s="9" t="s">
        <v>9</v>
      </c>
      <c r="N73" s="9" t="str">
        <f aca="false">IF(K73="",M73,IF(K73&lt;Súhrn!$B$3,"Po uzávierke",IF(M73="Očakávaná","Očakávaná",IF(K73-Súhrn!$B$3&lt;=14,"Končí do 14 dní","Otvorená"))))</f>
        <v>Otvorená</v>
      </c>
      <c r="O73" s="11" t="n">
        <f aca="false">IF(K73="","",K73-Súhrn!$B$3)</f>
        <v>46</v>
      </c>
      <c r="P73" s="9" t="s">
        <v>5</v>
      </c>
      <c r="Q73" s="9"/>
      <c r="R73" s="9" t="s">
        <v>44</v>
      </c>
    </row>
    <row r="74" customFormat="false" ht="15" hidden="false" customHeight="false" outlineLevel="0" collapsed="false">
      <c r="A74" s="9" t="n">
        <v>52</v>
      </c>
      <c r="B74" s="9" t="s">
        <v>13</v>
      </c>
      <c r="C74" s="9" t="s">
        <v>335</v>
      </c>
      <c r="D74" s="9" t="s">
        <v>336</v>
      </c>
      <c r="E74" s="9" t="s">
        <v>337</v>
      </c>
      <c r="F74" s="9" t="s">
        <v>221</v>
      </c>
      <c r="G74" s="9" t="s">
        <v>77</v>
      </c>
      <c r="H74" s="9" t="s">
        <v>338</v>
      </c>
      <c r="I74" s="9" t="s">
        <v>42</v>
      </c>
      <c r="J74" s="9" t="s">
        <v>42</v>
      </c>
      <c r="K74" s="10" t="n">
        <v>46338</v>
      </c>
      <c r="L74" s="9"/>
      <c r="M74" s="9" t="s">
        <v>9</v>
      </c>
      <c r="N74" s="9" t="str">
        <f aca="false">IF(K74="",M74,IF(K74&lt;Súhrn!$B$3,"Po uzávierke",IF(M74="Očakávaná","Očakávaná",IF(K74-Súhrn!$B$3&lt;=14,"Končí do 14 dní","Otvorená"))))</f>
        <v>Otvorená</v>
      </c>
      <c r="O74" s="11" t="n">
        <f aca="false">IF(K74="","",K74-Súhrn!$B$3)</f>
        <v>48</v>
      </c>
      <c r="P74" s="9" t="s">
        <v>5</v>
      </c>
      <c r="Q74" s="9"/>
      <c r="R74" s="9" t="s">
        <v>44</v>
      </c>
    </row>
    <row r="75" customFormat="false" ht="15" hidden="false" customHeight="false" outlineLevel="0" collapsed="false">
      <c r="A75" s="9" t="n">
        <v>53</v>
      </c>
      <c r="B75" s="9" t="s">
        <v>13</v>
      </c>
      <c r="C75" s="9" t="s">
        <v>335</v>
      </c>
      <c r="D75" s="9" t="s">
        <v>339</v>
      </c>
      <c r="E75" s="9" t="s">
        <v>337</v>
      </c>
      <c r="F75" s="9" t="s">
        <v>38</v>
      </c>
      <c r="G75" s="9" t="s">
        <v>77</v>
      </c>
      <c r="H75" s="9" t="s">
        <v>340</v>
      </c>
      <c r="I75" s="9" t="s">
        <v>42</v>
      </c>
      <c r="J75" s="9" t="s">
        <v>42</v>
      </c>
      <c r="K75" s="10" t="n">
        <v>46338</v>
      </c>
      <c r="L75" s="9"/>
      <c r="M75" s="9" t="s">
        <v>9</v>
      </c>
      <c r="N75" s="9" t="str">
        <f aca="false">IF(K75="",M75,IF(K75&lt;Súhrn!$B$3,"Po uzávierke",IF(M75="Očakávaná","Očakávaná",IF(K75-Súhrn!$B$3&lt;=14,"Končí do 14 dní","Otvorená"))))</f>
        <v>Otvorená</v>
      </c>
      <c r="O75" s="11" t="n">
        <f aca="false">IF(K75="","",K75-Súhrn!$B$3)</f>
        <v>48</v>
      </c>
      <c r="P75" s="9" t="s">
        <v>5</v>
      </c>
      <c r="Q75" s="9"/>
      <c r="R75" s="9" t="s">
        <v>44</v>
      </c>
    </row>
    <row r="76" customFormat="false" ht="15" hidden="false" customHeight="false" outlineLevel="0" collapsed="false">
      <c r="A76" s="9" t="n">
        <v>54</v>
      </c>
      <c r="B76" s="9" t="s">
        <v>13</v>
      </c>
      <c r="C76" s="9" t="s">
        <v>341</v>
      </c>
      <c r="D76" s="9" t="s">
        <v>342</v>
      </c>
      <c r="E76" s="9" t="s">
        <v>343</v>
      </c>
      <c r="F76" s="9" t="s">
        <v>38</v>
      </c>
      <c r="G76" s="9" t="s">
        <v>77</v>
      </c>
      <c r="H76" s="9" t="s">
        <v>344</v>
      </c>
      <c r="I76" s="9" t="s">
        <v>222</v>
      </c>
      <c r="J76" s="9" t="s">
        <v>345</v>
      </c>
      <c r="K76" s="10" t="n">
        <v>46338</v>
      </c>
      <c r="L76" s="9"/>
      <c r="M76" s="9" t="s">
        <v>9</v>
      </c>
      <c r="N76" s="9" t="str">
        <f aca="false">IF(K76="",M76,IF(K76&lt;Súhrn!$B$3,"Po uzávierke",IF(M76="Očakávaná","Očakávaná",IF(K76-Súhrn!$B$3&lt;=14,"Končí do 14 dní","Otvorená"))))</f>
        <v>Otvorená</v>
      </c>
      <c r="O76" s="11" t="n">
        <f aca="false">IF(K76="","",K76-Súhrn!$B$3)</f>
        <v>48</v>
      </c>
      <c r="P76" s="9" t="s">
        <v>5</v>
      </c>
      <c r="Q76" s="9"/>
      <c r="R76" s="9" t="s">
        <v>44</v>
      </c>
    </row>
    <row r="77" customFormat="false" ht="15" hidden="false" customHeight="false" outlineLevel="0" collapsed="false">
      <c r="A77" s="9" t="n">
        <v>55</v>
      </c>
      <c r="B77" s="9" t="s">
        <v>13</v>
      </c>
      <c r="C77" s="9" t="s">
        <v>263</v>
      </c>
      <c r="D77" s="9" t="s">
        <v>346</v>
      </c>
      <c r="E77" s="9" t="s">
        <v>347</v>
      </c>
      <c r="F77" s="9" t="s">
        <v>38</v>
      </c>
      <c r="G77" s="9" t="s">
        <v>77</v>
      </c>
      <c r="H77" s="9" t="s">
        <v>255</v>
      </c>
      <c r="I77" s="9" t="s">
        <v>42</v>
      </c>
      <c r="J77" s="9" t="s">
        <v>42</v>
      </c>
      <c r="K77" s="10" t="n">
        <v>46350</v>
      </c>
      <c r="L77" s="9"/>
      <c r="M77" s="9" t="s">
        <v>9</v>
      </c>
      <c r="N77" s="9" t="str">
        <f aca="false">IF(K77="",M77,IF(K77&lt;Súhrn!$B$3,"Po uzávierke",IF(M77="Očakávaná","Očakávaná",IF(K77-Súhrn!$B$3&lt;=14,"Končí do 14 dní","Otvorená"))))</f>
        <v>Otvorená</v>
      </c>
      <c r="O77" s="11" t="n">
        <f aca="false">IF(K77="","",K77-Súhrn!$B$3)</f>
        <v>60</v>
      </c>
      <c r="P77" s="9" t="s">
        <v>5</v>
      </c>
      <c r="Q77" s="9"/>
      <c r="R77" s="9" t="s">
        <v>44</v>
      </c>
    </row>
    <row r="78" customFormat="false" ht="15" hidden="false" customHeight="false" outlineLevel="0" collapsed="false">
      <c r="A78" s="9" t="n">
        <v>56</v>
      </c>
      <c r="B78" s="9" t="s">
        <v>13</v>
      </c>
      <c r="C78" s="9" t="s">
        <v>167</v>
      </c>
      <c r="D78" s="9" t="s">
        <v>348</v>
      </c>
      <c r="E78" s="9" t="s">
        <v>349</v>
      </c>
      <c r="F78" s="9" t="s">
        <v>350</v>
      </c>
      <c r="G78" s="9" t="s">
        <v>77</v>
      </c>
      <c r="H78" s="9" t="s">
        <v>351</v>
      </c>
      <c r="I78" s="9" t="s">
        <v>42</v>
      </c>
      <c r="J78" s="9" t="s">
        <v>255</v>
      </c>
      <c r="K78" s="10" t="n">
        <v>46352</v>
      </c>
      <c r="L78" s="9"/>
      <c r="M78" s="9" t="s">
        <v>9</v>
      </c>
      <c r="N78" s="9" t="str">
        <f aca="false">IF(K78="",M78,IF(K78&lt;Súhrn!$B$3,"Po uzávierke",IF(M78="Očakávaná","Očakávaná",IF(K78-Súhrn!$B$3&lt;=14,"Končí do 14 dní","Otvorená"))))</f>
        <v>Otvorená</v>
      </c>
      <c r="O78" s="11" t="n">
        <f aca="false">IF(K78="","",K78-Súhrn!$B$3)</f>
        <v>62</v>
      </c>
      <c r="P78" s="9" t="s">
        <v>5</v>
      </c>
      <c r="Q78" s="9" t="s">
        <v>352</v>
      </c>
      <c r="R78" s="9" t="s">
        <v>44</v>
      </c>
    </row>
    <row r="79" customFormat="false" ht="15" hidden="false" customHeight="false" outlineLevel="0" collapsed="false">
      <c r="A79" s="9" t="n">
        <v>4</v>
      </c>
      <c r="B79" s="9" t="s">
        <v>13</v>
      </c>
      <c r="C79" s="9" t="s">
        <v>353</v>
      </c>
      <c r="D79" s="9" t="s">
        <v>354</v>
      </c>
      <c r="E79" s="9" t="s">
        <v>355</v>
      </c>
      <c r="F79" s="9" t="s">
        <v>38</v>
      </c>
      <c r="G79" s="9" t="s">
        <v>77</v>
      </c>
      <c r="H79" s="9" t="s">
        <v>356</v>
      </c>
      <c r="I79" s="9" t="s">
        <v>41</v>
      </c>
      <c r="J79" s="9" t="s">
        <v>42</v>
      </c>
      <c r="K79" s="10" t="n">
        <v>46371</v>
      </c>
      <c r="L79" s="9"/>
      <c r="M79" s="9" t="s">
        <v>9</v>
      </c>
      <c r="N79" s="9" t="str">
        <f aca="false">IF(K79="",M79,IF(K79&lt;Súhrn!$B$3,"Po uzávierke",IF(M79="Očakávaná","Očakávaná",IF(K79-Súhrn!$B$3&lt;=14,"Končí do 14 dní","Otvorená"))))</f>
        <v>Otvorená</v>
      </c>
      <c r="O79" s="11" t="n">
        <f aca="false">IF(K79="","",K79-Súhrn!$B$3)</f>
        <v>81</v>
      </c>
      <c r="P79" s="9" t="s">
        <v>5</v>
      </c>
      <c r="Q79" s="9" t="s">
        <v>357</v>
      </c>
      <c r="R79" s="9" t="s">
        <v>44</v>
      </c>
    </row>
    <row r="80" customFormat="false" ht="15" hidden="false" customHeight="false" outlineLevel="0" collapsed="false">
      <c r="A80" s="9" t="n">
        <v>62</v>
      </c>
      <c r="B80" s="9" t="s">
        <v>13</v>
      </c>
      <c r="C80" s="9" t="s">
        <v>358</v>
      </c>
      <c r="D80" s="9" t="s">
        <v>359</v>
      </c>
      <c r="E80" s="9" t="s">
        <v>360</v>
      </c>
      <c r="F80" s="9" t="s">
        <v>38</v>
      </c>
      <c r="G80" s="9" t="s">
        <v>48</v>
      </c>
      <c r="H80" s="9" t="s">
        <v>42</v>
      </c>
      <c r="I80" s="9" t="s">
        <v>41</v>
      </c>
      <c r="J80" s="9" t="s">
        <v>42</v>
      </c>
      <c r="K80" s="10" t="n">
        <v>46387</v>
      </c>
      <c r="L80" s="9"/>
      <c r="M80" s="9" t="s">
        <v>9</v>
      </c>
      <c r="N80" s="9" t="str">
        <f aca="false">IF(K80="",M80,IF(K80&lt;Súhrn!$B$3,"Po uzávierke",IF(M80="Očakávaná","Očakávaná",IF(K80-Súhrn!$B$3&lt;=14,"Končí do 14 dní","Otvorená"))))</f>
        <v>Otvorená</v>
      </c>
      <c r="O80" s="11" t="n">
        <f aca="false">IF(K80="","",K80-Súhrn!$B$3)</f>
        <v>97</v>
      </c>
      <c r="P80" s="9" t="s">
        <v>5</v>
      </c>
      <c r="Q80" s="9"/>
      <c r="R80" s="9" t="s">
        <v>44</v>
      </c>
    </row>
    <row r="81" customFormat="false" ht="15" hidden="false" customHeight="false" outlineLevel="0" collapsed="false">
      <c r="A81" s="9" t="n">
        <v>63</v>
      </c>
      <c r="B81" s="9" t="s">
        <v>13</v>
      </c>
      <c r="C81" s="9" t="s">
        <v>277</v>
      </c>
      <c r="D81" s="9" t="s">
        <v>361</v>
      </c>
      <c r="E81" s="9" t="s">
        <v>362</v>
      </c>
      <c r="F81" s="9" t="s">
        <v>38</v>
      </c>
      <c r="G81" s="9" t="s">
        <v>77</v>
      </c>
      <c r="H81" s="9" t="s">
        <v>363</v>
      </c>
      <c r="I81" s="9" t="s">
        <v>41</v>
      </c>
      <c r="J81" s="9" t="s">
        <v>299</v>
      </c>
      <c r="K81" s="10" t="n">
        <v>46401</v>
      </c>
      <c r="L81" s="9"/>
      <c r="M81" s="9" t="s">
        <v>9</v>
      </c>
      <c r="N81" s="9" t="str">
        <f aca="false">IF(K81="",M81,IF(K81&lt;Súhrn!$B$3,"Po uzávierke",IF(M81="Očakávaná","Očakávaná",IF(K81-Súhrn!$B$3&lt;=14,"Končí do 14 dní","Otvorená"))))</f>
        <v>Otvorená</v>
      </c>
      <c r="O81" s="11" t="n">
        <f aca="false">IF(K81="","",K81-Súhrn!$B$3)</f>
        <v>111</v>
      </c>
      <c r="P81" s="9" t="s">
        <v>5</v>
      </c>
      <c r="Q81" s="9" t="s">
        <v>364</v>
      </c>
      <c r="R81" s="9" t="s">
        <v>44</v>
      </c>
    </row>
    <row r="82" customFormat="false" ht="15" hidden="false" customHeight="false" outlineLevel="0" collapsed="false">
      <c r="A82" s="9" t="n">
        <v>64</v>
      </c>
      <c r="B82" s="9" t="s">
        <v>13</v>
      </c>
      <c r="C82" s="9" t="s">
        <v>365</v>
      </c>
      <c r="D82" s="9" t="s">
        <v>366</v>
      </c>
      <c r="E82" s="9" t="s">
        <v>275</v>
      </c>
      <c r="F82" s="9" t="s">
        <v>38</v>
      </c>
      <c r="G82" s="9" t="s">
        <v>77</v>
      </c>
      <c r="H82" s="9" t="s">
        <v>367</v>
      </c>
      <c r="I82" s="9" t="s">
        <v>42</v>
      </c>
      <c r="J82" s="9" t="s">
        <v>368</v>
      </c>
      <c r="K82" s="10" t="n">
        <v>46401</v>
      </c>
      <c r="L82" s="9"/>
      <c r="M82" s="9" t="s">
        <v>9</v>
      </c>
      <c r="N82" s="9" t="str">
        <f aca="false">IF(K82="",M82,IF(K82&lt;Súhrn!$B$3,"Po uzávierke",IF(M82="Očakávaná","Očakávaná",IF(K82-Súhrn!$B$3&lt;=14,"Končí do 14 dní","Otvorená"))))</f>
        <v>Otvorená</v>
      </c>
      <c r="O82" s="11" t="n">
        <f aca="false">IF(K82="","",K82-Súhrn!$B$3)</f>
        <v>111</v>
      </c>
      <c r="P82" s="9" t="s">
        <v>5</v>
      </c>
      <c r="Q82" s="9"/>
      <c r="R82" s="9" t="s">
        <v>44</v>
      </c>
    </row>
    <row r="83" customFormat="false" ht="23.85" hidden="false" customHeight="false" outlineLevel="0" collapsed="false">
      <c r="A83" s="9" t="n">
        <v>65</v>
      </c>
      <c r="B83" s="9" t="s">
        <v>13</v>
      </c>
      <c r="C83" s="9" t="s">
        <v>365</v>
      </c>
      <c r="D83" s="9" t="s">
        <v>369</v>
      </c>
      <c r="E83" s="9" t="s">
        <v>275</v>
      </c>
      <c r="F83" s="9" t="s">
        <v>38</v>
      </c>
      <c r="G83" s="9" t="s">
        <v>77</v>
      </c>
      <c r="H83" s="9" t="s">
        <v>370</v>
      </c>
      <c r="I83" s="9" t="s">
        <v>42</v>
      </c>
      <c r="J83" s="9" t="s">
        <v>371</v>
      </c>
      <c r="K83" s="10" t="n">
        <v>46406</v>
      </c>
      <c r="L83" s="9"/>
      <c r="M83" s="9" t="s">
        <v>9</v>
      </c>
      <c r="N83" s="9" t="str">
        <f aca="false">IF(K83="",M83,IF(K83&lt;Súhrn!$B$3,"Po uzávierke",IF(M83="Očakávaná","Očakávaná",IF(K83-Súhrn!$B$3&lt;=14,"Končí do 14 dní","Otvorená"))))</f>
        <v>Otvorená</v>
      </c>
      <c r="O83" s="11" t="n">
        <f aca="false">IF(K83="","",K83-Súhrn!$B$3)</f>
        <v>116</v>
      </c>
      <c r="P83" s="9" t="s">
        <v>5</v>
      </c>
      <c r="Q83" s="9" t="s">
        <v>229</v>
      </c>
      <c r="R83" s="9" t="s">
        <v>44</v>
      </c>
    </row>
    <row r="84" customFormat="false" ht="15" hidden="false" customHeight="false" outlineLevel="0" collapsed="false">
      <c r="A84" s="9" t="n">
        <v>66</v>
      </c>
      <c r="B84" s="9" t="s">
        <v>13</v>
      </c>
      <c r="C84" s="9" t="s">
        <v>365</v>
      </c>
      <c r="D84" s="9" t="s">
        <v>372</v>
      </c>
      <c r="E84" s="9" t="s">
        <v>373</v>
      </c>
      <c r="F84" s="9" t="s">
        <v>38</v>
      </c>
      <c r="G84" s="9" t="s">
        <v>77</v>
      </c>
      <c r="H84" s="9" t="s">
        <v>284</v>
      </c>
      <c r="I84" s="9" t="s">
        <v>42</v>
      </c>
      <c r="J84" s="9" t="s">
        <v>284</v>
      </c>
      <c r="K84" s="10" t="n">
        <v>46413</v>
      </c>
      <c r="L84" s="9"/>
      <c r="M84" s="9" t="s">
        <v>9</v>
      </c>
      <c r="N84" s="9" t="str">
        <f aca="false">IF(K84="",M84,IF(K84&lt;Súhrn!$B$3,"Po uzávierke",IF(M84="Očakávaná","Očakávaná",IF(K84-Súhrn!$B$3&lt;=14,"Končí do 14 dní","Otvorená"))))</f>
        <v>Otvorená</v>
      </c>
      <c r="O84" s="11" t="n">
        <f aca="false">IF(K84="","",K84-Súhrn!$B$3)</f>
        <v>123</v>
      </c>
      <c r="P84" s="9" t="s">
        <v>5</v>
      </c>
      <c r="Q84" s="9"/>
      <c r="R84" s="9" t="s">
        <v>44</v>
      </c>
    </row>
    <row r="85" customFormat="false" ht="15" hidden="false" customHeight="false" outlineLevel="0" collapsed="false">
      <c r="A85" s="9" t="n">
        <v>5</v>
      </c>
      <c r="B85" s="9" t="s">
        <v>13</v>
      </c>
      <c r="C85" s="9" t="s">
        <v>263</v>
      </c>
      <c r="D85" s="9" t="s">
        <v>374</v>
      </c>
      <c r="E85" s="9" t="s">
        <v>275</v>
      </c>
      <c r="F85" s="9" t="s">
        <v>38</v>
      </c>
      <c r="G85" s="9" t="s">
        <v>77</v>
      </c>
      <c r="H85" s="9" t="s">
        <v>375</v>
      </c>
      <c r="I85" s="9" t="s">
        <v>42</v>
      </c>
      <c r="J85" s="9" t="s">
        <v>282</v>
      </c>
      <c r="K85" s="10" t="n">
        <v>46420</v>
      </c>
      <c r="L85" s="9"/>
      <c r="M85" s="9" t="s">
        <v>9</v>
      </c>
      <c r="N85" s="9" t="str">
        <f aca="false">IF(K85="",M85,IF(K85&lt;Súhrn!$B$3,"Po uzávierke",IF(M85="Očakávaná","Očakávaná",IF(K85-Súhrn!$B$3&lt;=14,"Končí do 14 dní","Otvorená"))))</f>
        <v>Otvorená</v>
      </c>
      <c r="O85" s="11" t="n">
        <f aca="false">IF(K85="","",K85-Súhrn!$B$3)</f>
        <v>130</v>
      </c>
      <c r="P85" s="9" t="s">
        <v>5</v>
      </c>
      <c r="Q85" s="9" t="s">
        <v>376</v>
      </c>
      <c r="R85" s="9" t="s">
        <v>44</v>
      </c>
    </row>
    <row r="86" customFormat="false" ht="15" hidden="false" customHeight="false" outlineLevel="0" collapsed="false">
      <c r="A86" s="9" t="n">
        <v>68</v>
      </c>
      <c r="B86" s="9" t="s">
        <v>13</v>
      </c>
      <c r="C86" s="9" t="s">
        <v>263</v>
      </c>
      <c r="D86" s="9" t="s">
        <v>377</v>
      </c>
      <c r="E86" s="9" t="s">
        <v>275</v>
      </c>
      <c r="F86" s="9" t="s">
        <v>38</v>
      </c>
      <c r="G86" s="9" t="s">
        <v>77</v>
      </c>
      <c r="H86" s="9" t="s">
        <v>258</v>
      </c>
      <c r="I86" s="9" t="s">
        <v>42</v>
      </c>
      <c r="J86" s="9" t="s">
        <v>378</v>
      </c>
      <c r="K86" s="10" t="n">
        <v>46450</v>
      </c>
      <c r="L86" s="9"/>
      <c r="M86" s="9" t="s">
        <v>9</v>
      </c>
      <c r="N86" s="9" t="str">
        <f aca="false">IF(K86="",M86,IF(K86&lt;Súhrn!$B$3,"Po uzávierke",IF(M86="Očakávaná","Očakávaná",IF(K86-Súhrn!$B$3&lt;=14,"Končí do 14 dní","Otvorená"))))</f>
        <v>Otvorená</v>
      </c>
      <c r="O86" s="11" t="n">
        <f aca="false">IF(K86="","",K86-Súhrn!$B$3)</f>
        <v>160</v>
      </c>
      <c r="P86" s="9" t="s">
        <v>5</v>
      </c>
      <c r="Q86" s="9"/>
      <c r="R86" s="9" t="s">
        <v>44</v>
      </c>
    </row>
    <row r="87" customFormat="false" ht="15" hidden="false" customHeight="false" outlineLevel="0" collapsed="false">
      <c r="A87" s="9" t="n">
        <v>101</v>
      </c>
      <c r="B87" s="9" t="s">
        <v>13</v>
      </c>
      <c r="C87" s="9" t="s">
        <v>263</v>
      </c>
      <c r="D87" s="9" t="s">
        <v>379</v>
      </c>
      <c r="E87" s="9" t="s">
        <v>275</v>
      </c>
      <c r="F87" s="9" t="s">
        <v>38</v>
      </c>
      <c r="G87" s="9" t="s">
        <v>77</v>
      </c>
      <c r="H87" s="9" t="s">
        <v>380</v>
      </c>
      <c r="I87" s="9" t="s">
        <v>42</v>
      </c>
      <c r="J87" s="9" t="s">
        <v>279</v>
      </c>
      <c r="K87" s="10" t="n">
        <v>46450</v>
      </c>
      <c r="L87" s="9"/>
      <c r="M87" s="9" t="s">
        <v>10</v>
      </c>
      <c r="N87" s="9" t="str">
        <f aca="false">IF(K87="",M87,IF(K87&lt;Súhrn!$B$3,"Po uzávierke",IF(M87="Očakávaná","Očakávaná",IF(K87-Súhrn!$B$3&lt;=14,"Končí do 14 dní","Otvorená"))))</f>
        <v>Očakávaná</v>
      </c>
      <c r="O87" s="11" t="n">
        <f aca="false">IF(K87="","",K87-Súhrn!$B$3)</f>
        <v>160</v>
      </c>
      <c r="P87" s="9" t="s">
        <v>5</v>
      </c>
      <c r="Q87" s="9"/>
      <c r="R87" s="9" t="s">
        <v>44</v>
      </c>
    </row>
    <row r="88" customFormat="false" ht="15" hidden="false" customHeight="false" outlineLevel="0" collapsed="false">
      <c r="A88" s="9" t="n">
        <v>102</v>
      </c>
      <c r="B88" s="9" t="s">
        <v>13</v>
      </c>
      <c r="C88" s="9" t="s">
        <v>263</v>
      </c>
      <c r="D88" s="9" t="s">
        <v>381</v>
      </c>
      <c r="E88" s="9" t="s">
        <v>275</v>
      </c>
      <c r="F88" s="9" t="s">
        <v>38</v>
      </c>
      <c r="G88" s="9" t="s">
        <v>77</v>
      </c>
      <c r="H88" s="9" t="s">
        <v>382</v>
      </c>
      <c r="I88" s="9" t="s">
        <v>42</v>
      </c>
      <c r="J88" s="9" t="s">
        <v>383</v>
      </c>
      <c r="K88" s="10" t="n">
        <v>46457</v>
      </c>
      <c r="L88" s="9"/>
      <c r="M88" s="9" t="s">
        <v>10</v>
      </c>
      <c r="N88" s="9" t="str">
        <f aca="false">IF(K88="",M88,IF(K88&lt;Súhrn!$B$3,"Po uzávierke",IF(M88="Očakávaná","Očakávaná",IF(K88-Súhrn!$B$3&lt;=14,"Končí do 14 dní","Otvorená"))))</f>
        <v>Očakávaná</v>
      </c>
      <c r="O88" s="11" t="n">
        <f aca="false">IF(K88="","",K88-Súhrn!$B$3)</f>
        <v>167</v>
      </c>
      <c r="P88" s="9" t="s">
        <v>5</v>
      </c>
      <c r="Q88" s="9"/>
      <c r="R88" s="9" t="s">
        <v>44</v>
      </c>
    </row>
    <row r="89" customFormat="false" ht="15" hidden="false" customHeight="false" outlineLevel="0" collapsed="false">
      <c r="A89" s="9" t="n">
        <v>103</v>
      </c>
      <c r="B89" s="9" t="s">
        <v>13</v>
      </c>
      <c r="C89" s="9" t="s">
        <v>263</v>
      </c>
      <c r="D89" s="9" t="s">
        <v>384</v>
      </c>
      <c r="E89" s="9" t="s">
        <v>275</v>
      </c>
      <c r="F89" s="9" t="s">
        <v>38</v>
      </c>
      <c r="G89" s="9" t="s">
        <v>77</v>
      </c>
      <c r="H89" s="9" t="s">
        <v>385</v>
      </c>
      <c r="I89" s="9" t="s">
        <v>42</v>
      </c>
      <c r="J89" s="9" t="s">
        <v>42</v>
      </c>
      <c r="K89" s="10" t="n">
        <v>46477</v>
      </c>
      <c r="L89" s="9"/>
      <c r="M89" s="9" t="s">
        <v>10</v>
      </c>
      <c r="N89" s="9" t="str">
        <f aca="false">IF(K89="",M89,IF(K89&lt;Súhrn!$B$3,"Po uzávierke",IF(M89="Očakávaná","Očakávaná",IF(K89-Súhrn!$B$3&lt;=14,"Končí do 14 dní","Otvorená"))))</f>
        <v>Očakávaná</v>
      </c>
      <c r="O89" s="11" t="n">
        <f aca="false">IF(K89="","",K89-Súhrn!$B$3)</f>
        <v>187</v>
      </c>
      <c r="P89" s="9" t="s">
        <v>5</v>
      </c>
      <c r="Q89" s="9"/>
      <c r="R89" s="9" t="s">
        <v>44</v>
      </c>
    </row>
    <row r="90" customFormat="false" ht="15" hidden="false" customHeight="false" outlineLevel="0" collapsed="false">
      <c r="A90" s="9" t="n">
        <v>113</v>
      </c>
      <c r="B90" s="12" t="s">
        <v>14</v>
      </c>
      <c r="C90" s="9" t="s">
        <v>86</v>
      </c>
      <c r="D90" s="9" t="s">
        <v>386</v>
      </c>
      <c r="E90" s="9" t="s">
        <v>387</v>
      </c>
      <c r="F90" s="9" t="s">
        <v>38</v>
      </c>
      <c r="G90" s="9" t="s">
        <v>48</v>
      </c>
      <c r="H90" s="9" t="s">
        <v>388</v>
      </c>
      <c r="I90" s="9" t="s">
        <v>42</v>
      </c>
      <c r="J90" s="9" t="s">
        <v>42</v>
      </c>
      <c r="K90" s="10" t="n">
        <v>46477</v>
      </c>
      <c r="L90" s="9" t="s">
        <v>389</v>
      </c>
      <c r="M90" s="9" t="s">
        <v>9</v>
      </c>
      <c r="N90" s="9" t="str">
        <f aca="false">IF(K90="",M90,IF(K90&lt;Súhrn!$B$3,"Po uzávierke",IF(M90="Očakávaná","Očakávaná",IF(K90-Súhrn!$B$3&lt;=14,"Končí do 14 dní","Otvorená"))))</f>
        <v>Otvorená</v>
      </c>
      <c r="O90" s="11" t="n">
        <f aca="false">IF(K90="","",K90-Súhrn!$B$3)</f>
        <v>187</v>
      </c>
      <c r="P90" s="9" t="s">
        <v>5</v>
      </c>
      <c r="Q90" s="9" t="s">
        <v>390</v>
      </c>
      <c r="R90" s="13" t="s">
        <v>92</v>
      </c>
    </row>
    <row r="91" customFormat="false" ht="15" hidden="false" customHeight="false" outlineLevel="0" collapsed="false">
      <c r="A91" s="9" t="n">
        <v>104</v>
      </c>
      <c r="B91" s="9" t="s">
        <v>13</v>
      </c>
      <c r="C91" s="9" t="s">
        <v>358</v>
      </c>
      <c r="D91" s="9" t="s">
        <v>391</v>
      </c>
      <c r="E91" s="9" t="s">
        <v>392</v>
      </c>
      <c r="F91" s="9" t="s">
        <v>38</v>
      </c>
      <c r="G91" s="9" t="s">
        <v>48</v>
      </c>
      <c r="H91" s="9" t="s">
        <v>42</v>
      </c>
      <c r="I91" s="9" t="s">
        <v>393</v>
      </c>
      <c r="J91" s="9" t="s">
        <v>394</v>
      </c>
      <c r="K91" s="10" t="n">
        <v>46507</v>
      </c>
      <c r="L91" s="9"/>
      <c r="M91" s="9" t="s">
        <v>10</v>
      </c>
      <c r="N91" s="9" t="str">
        <f aca="false">IF(K91="",M91,IF(K91&lt;Súhrn!$B$3,"Po uzávierke",IF(M91="Očakávaná","Očakávaná",IF(K91-Súhrn!$B$3&lt;=14,"Končí do 14 dní","Otvorená"))))</f>
        <v>Očakávaná</v>
      </c>
      <c r="O91" s="11" t="n">
        <f aca="false">IF(K91="","",K91-Súhrn!$B$3)</f>
        <v>217</v>
      </c>
      <c r="P91" s="9" t="s">
        <v>5</v>
      </c>
      <c r="Q91" s="9"/>
      <c r="R91" s="9" t="s">
        <v>44</v>
      </c>
    </row>
    <row r="92" customFormat="false" ht="15" hidden="false" customHeight="false" outlineLevel="0" collapsed="false">
      <c r="A92" s="9" t="n">
        <v>69</v>
      </c>
      <c r="B92" s="9" t="s">
        <v>13</v>
      </c>
      <c r="C92" s="9" t="s">
        <v>358</v>
      </c>
      <c r="D92" s="9" t="s">
        <v>395</v>
      </c>
      <c r="E92" s="9" t="s">
        <v>396</v>
      </c>
      <c r="F92" s="9" t="s">
        <v>38</v>
      </c>
      <c r="G92" s="9" t="s">
        <v>48</v>
      </c>
      <c r="H92" s="9" t="s">
        <v>42</v>
      </c>
      <c r="I92" s="9" t="s">
        <v>126</v>
      </c>
      <c r="J92" s="9" t="s">
        <v>42</v>
      </c>
      <c r="K92" s="10" t="n">
        <v>46568</v>
      </c>
      <c r="L92" s="9"/>
      <c r="M92" s="9" t="s">
        <v>9</v>
      </c>
      <c r="N92" s="9" t="str">
        <f aca="false">IF(K92="",M92,IF(K92&lt;Súhrn!$B$3,"Po uzávierke",IF(M92="Očakávaná","Očakávaná",IF(K92-Súhrn!$B$3&lt;=14,"Končí do 14 dní","Otvorená"))))</f>
        <v>Otvorená</v>
      </c>
      <c r="O92" s="11" t="n">
        <f aca="false">IF(K92="","",K92-Súhrn!$B$3)</f>
        <v>278</v>
      </c>
      <c r="P92" s="9" t="s">
        <v>5</v>
      </c>
      <c r="Q92" s="9"/>
      <c r="R92" s="9" t="s">
        <v>44</v>
      </c>
    </row>
    <row r="93" customFormat="false" ht="15" hidden="false" customHeight="false" outlineLevel="0" collapsed="false">
      <c r="A93" s="9" t="n">
        <v>70</v>
      </c>
      <c r="B93" s="9" t="s">
        <v>13</v>
      </c>
      <c r="C93" s="9" t="s">
        <v>397</v>
      </c>
      <c r="D93" s="9" t="s">
        <v>398</v>
      </c>
      <c r="E93" s="9" t="s">
        <v>399</v>
      </c>
      <c r="F93" s="9" t="s">
        <v>38</v>
      </c>
      <c r="G93" s="9" t="s">
        <v>77</v>
      </c>
      <c r="H93" s="9" t="s">
        <v>284</v>
      </c>
      <c r="I93" s="9" t="s">
        <v>42</v>
      </c>
      <c r="J93" s="9" t="s">
        <v>367</v>
      </c>
      <c r="K93" s="10" t="n">
        <v>46658</v>
      </c>
      <c r="L93" s="9"/>
      <c r="M93" s="9" t="s">
        <v>9</v>
      </c>
      <c r="N93" s="9" t="str">
        <f aca="false">IF(K93="",M93,IF(K93&lt;Súhrn!$B$3,"Po uzávierke",IF(M93="Očakávaná","Očakávaná",IF(K93-Súhrn!$B$3&lt;=14,"Končí do 14 dní","Otvorená"))))</f>
        <v>Otvorená</v>
      </c>
      <c r="O93" s="11" t="n">
        <f aca="false">IF(K93="","",K93-Súhrn!$B$3)</f>
        <v>368</v>
      </c>
      <c r="P93" s="9" t="s">
        <v>5</v>
      </c>
      <c r="Q93" s="9"/>
      <c r="R93" s="9" t="s">
        <v>44</v>
      </c>
    </row>
    <row r="94" customFormat="false" ht="15" hidden="false" customHeight="false" outlineLevel="0" collapsed="false">
      <c r="A94" s="9" t="n">
        <v>6</v>
      </c>
      <c r="B94" s="9" t="s">
        <v>13</v>
      </c>
      <c r="C94" s="9" t="s">
        <v>400</v>
      </c>
      <c r="D94" s="9" t="s">
        <v>401</v>
      </c>
      <c r="E94" s="9" t="s">
        <v>402</v>
      </c>
      <c r="F94" s="9" t="s">
        <v>178</v>
      </c>
      <c r="G94" s="9" t="s">
        <v>48</v>
      </c>
      <c r="H94" s="9" t="s">
        <v>403</v>
      </c>
      <c r="I94" s="9" t="s">
        <v>42</v>
      </c>
      <c r="J94" s="9" t="s">
        <v>42</v>
      </c>
      <c r="K94" s="10" t="n">
        <v>48213</v>
      </c>
      <c r="L94" s="9"/>
      <c r="M94" s="9" t="s">
        <v>9</v>
      </c>
      <c r="N94" s="9" t="str">
        <f aca="false">IF(K94="",M94,IF(K94&lt;Súhrn!$B$3,"Po uzávierke",IF(M94="Očakávaná","Očakávaná",IF(K94-Súhrn!$B$3&lt;=14,"Končí do 14 dní","Otvorená"))))</f>
        <v>Otvorená</v>
      </c>
      <c r="O94" s="11" t="n">
        <f aca="false">IF(K94="","",K94-Súhrn!$B$3)</f>
        <v>1923</v>
      </c>
      <c r="P94" s="9" t="s">
        <v>5</v>
      </c>
      <c r="Q94" s="9" t="s">
        <v>404</v>
      </c>
      <c r="R94" s="9" t="s">
        <v>44</v>
      </c>
    </row>
    <row r="95" customFormat="false" ht="15" hidden="false" customHeight="false" outlineLevel="0" collapsed="false">
      <c r="A95" s="9" t="n">
        <v>76</v>
      </c>
      <c r="B95" s="9" t="s">
        <v>13</v>
      </c>
      <c r="C95" s="9" t="s">
        <v>405</v>
      </c>
      <c r="D95" s="9" t="s">
        <v>406</v>
      </c>
      <c r="E95" s="9" t="s">
        <v>407</v>
      </c>
      <c r="F95" s="9" t="s">
        <v>38</v>
      </c>
      <c r="G95" s="9" t="s">
        <v>48</v>
      </c>
      <c r="H95" s="9" t="s">
        <v>42</v>
      </c>
      <c r="I95" s="9" t="s">
        <v>42</v>
      </c>
      <c r="J95" s="9" t="s">
        <v>42</v>
      </c>
      <c r="K95" s="10"/>
      <c r="L95" s="9" t="s">
        <v>408</v>
      </c>
      <c r="M95" s="9" t="s">
        <v>11</v>
      </c>
      <c r="N95" s="9" t="str">
        <f aca="false">IF(K95="",M95,IF(K95&lt;Súhrn!$B$3,"Po uzávierke",IF(M95="Očakávaná","Očakávaná",IF(K95-Súhrn!$B$3&lt;=14,"Končí do 14 dní","Otvorená"))))</f>
        <v>Priebežná</v>
      </c>
      <c r="O95" s="11" t="str">
        <f aca="false">IF(K95="","",K95-Súhrn!$B$3)</f>
        <v/>
      </c>
      <c r="P95" s="9" t="s">
        <v>5</v>
      </c>
      <c r="Q95" s="9"/>
      <c r="R95" s="9" t="s">
        <v>44</v>
      </c>
    </row>
    <row r="96" customFormat="false" ht="15" hidden="false" customHeight="false" outlineLevel="0" collapsed="false">
      <c r="A96" s="9" t="n">
        <v>77</v>
      </c>
      <c r="B96" s="9" t="s">
        <v>13</v>
      </c>
      <c r="C96" s="9" t="s">
        <v>409</v>
      </c>
      <c r="D96" s="9" t="s">
        <v>410</v>
      </c>
      <c r="E96" s="9" t="s">
        <v>411</v>
      </c>
      <c r="F96" s="9" t="s">
        <v>38</v>
      </c>
      <c r="G96" s="9" t="s">
        <v>48</v>
      </c>
      <c r="H96" s="9" t="s">
        <v>42</v>
      </c>
      <c r="I96" s="9" t="s">
        <v>42</v>
      </c>
      <c r="J96" s="9" t="s">
        <v>42</v>
      </c>
      <c r="K96" s="10"/>
      <c r="L96" s="9" t="s">
        <v>207</v>
      </c>
      <c r="M96" s="9" t="s">
        <v>11</v>
      </c>
      <c r="N96" s="9" t="str">
        <f aca="false">IF(K96="",M96,IF(K96&lt;Súhrn!$B$3,"Po uzávierke",IF(M96="Očakávaná","Očakávaná",IF(K96-Súhrn!$B$3&lt;=14,"Končí do 14 dní","Otvorená"))))</f>
        <v>Priebežná</v>
      </c>
      <c r="O96" s="11" t="str">
        <f aca="false">IF(K96="","",K96-Súhrn!$B$3)</f>
        <v/>
      </c>
      <c r="P96" s="9" t="s">
        <v>5</v>
      </c>
      <c r="Q96" s="9"/>
      <c r="R96" s="9" t="s">
        <v>44</v>
      </c>
    </row>
    <row r="97" customFormat="false" ht="15" hidden="false" customHeight="false" outlineLevel="0" collapsed="false">
      <c r="A97" s="9" t="n">
        <v>78</v>
      </c>
      <c r="B97" s="9" t="s">
        <v>13</v>
      </c>
      <c r="C97" s="9" t="s">
        <v>412</v>
      </c>
      <c r="D97" s="9" t="s">
        <v>413</v>
      </c>
      <c r="E97" s="9" t="s">
        <v>414</v>
      </c>
      <c r="F97" s="9" t="s">
        <v>415</v>
      </c>
      <c r="G97" s="9" t="s">
        <v>48</v>
      </c>
      <c r="H97" s="9" t="s">
        <v>42</v>
      </c>
      <c r="I97" s="9" t="s">
        <v>42</v>
      </c>
      <c r="J97" s="9" t="s">
        <v>416</v>
      </c>
      <c r="K97" s="10"/>
      <c r="L97" s="9" t="s">
        <v>207</v>
      </c>
      <c r="M97" s="9" t="s">
        <v>11</v>
      </c>
      <c r="N97" s="9" t="str">
        <f aca="false">IF(K97="",M97,IF(K97&lt;Súhrn!$B$3,"Po uzávierke",IF(M97="Očakávaná","Očakávaná",IF(K97-Súhrn!$B$3&lt;=14,"Končí do 14 dní","Otvorená"))))</f>
        <v>Priebežná</v>
      </c>
      <c r="O97" s="11" t="str">
        <f aca="false">IF(K97="","",K97-Súhrn!$B$3)</f>
        <v/>
      </c>
      <c r="P97" s="9" t="s">
        <v>5</v>
      </c>
      <c r="Q97" s="9"/>
      <c r="R97" s="9" t="s">
        <v>44</v>
      </c>
    </row>
    <row r="98" customFormat="false" ht="15" hidden="false" customHeight="false" outlineLevel="0" collapsed="false">
      <c r="A98" s="9" t="n">
        <v>79</v>
      </c>
      <c r="B98" s="9" t="s">
        <v>13</v>
      </c>
      <c r="C98" s="9" t="s">
        <v>417</v>
      </c>
      <c r="D98" s="9" t="s">
        <v>418</v>
      </c>
      <c r="E98" s="9" t="s">
        <v>419</v>
      </c>
      <c r="F98" s="9" t="s">
        <v>38</v>
      </c>
      <c r="G98" s="9" t="s">
        <v>48</v>
      </c>
      <c r="H98" s="9" t="s">
        <v>42</v>
      </c>
      <c r="I98" s="9" t="s">
        <v>42</v>
      </c>
      <c r="J98" s="9" t="s">
        <v>420</v>
      </c>
      <c r="K98" s="10"/>
      <c r="L98" s="9" t="s">
        <v>421</v>
      </c>
      <c r="M98" s="9" t="s">
        <v>11</v>
      </c>
      <c r="N98" s="9" t="str">
        <f aca="false">IF(K98="",M98,IF(K98&lt;Súhrn!$B$3,"Po uzávierke",IF(M98="Očakávaná","Očakávaná",IF(K98-Súhrn!$B$3&lt;=14,"Končí do 14 dní","Otvorená"))))</f>
        <v>Priebežná</v>
      </c>
      <c r="O98" s="11" t="str">
        <f aca="false">IF(K98="","",K98-Súhrn!$B$3)</f>
        <v/>
      </c>
      <c r="P98" s="9" t="s">
        <v>5</v>
      </c>
      <c r="Q98" s="9"/>
      <c r="R98" s="9" t="s">
        <v>44</v>
      </c>
    </row>
    <row r="99" customFormat="false" ht="15" hidden="false" customHeight="false" outlineLevel="0" collapsed="false">
      <c r="A99" s="9" t="n">
        <v>80</v>
      </c>
      <c r="B99" s="9" t="s">
        <v>13</v>
      </c>
      <c r="C99" s="9" t="s">
        <v>422</v>
      </c>
      <c r="D99" s="9" t="s">
        <v>423</v>
      </c>
      <c r="E99" s="9" t="s">
        <v>424</v>
      </c>
      <c r="F99" s="9" t="s">
        <v>38</v>
      </c>
      <c r="G99" s="9" t="s">
        <v>48</v>
      </c>
      <c r="H99" s="9" t="s">
        <v>42</v>
      </c>
      <c r="I99" s="9" t="s">
        <v>42</v>
      </c>
      <c r="J99" s="9" t="s">
        <v>42</v>
      </c>
      <c r="K99" s="10"/>
      <c r="L99" s="9" t="s">
        <v>207</v>
      </c>
      <c r="M99" s="9" t="s">
        <v>11</v>
      </c>
      <c r="N99" s="9" t="str">
        <f aca="false">IF(K99="",M99,IF(K99&lt;Súhrn!$B$3,"Po uzávierke",IF(M99="Očakávaná","Očakávaná",IF(K99-Súhrn!$B$3&lt;=14,"Končí do 14 dní","Otvorená"))))</f>
        <v>Priebežná</v>
      </c>
      <c r="O99" s="11" t="str">
        <f aca="false">IF(K99="","",K99-Súhrn!$B$3)</f>
        <v/>
      </c>
      <c r="P99" s="9" t="s">
        <v>5</v>
      </c>
      <c r="Q99" s="9"/>
      <c r="R99" s="9" t="s">
        <v>44</v>
      </c>
    </row>
    <row r="100" customFormat="false" ht="15" hidden="false" customHeight="false" outlineLevel="0" collapsed="false">
      <c r="A100" s="9" t="n">
        <v>81</v>
      </c>
      <c r="B100" s="9" t="s">
        <v>13</v>
      </c>
      <c r="C100" s="9" t="s">
        <v>425</v>
      </c>
      <c r="D100" s="9" t="s">
        <v>426</v>
      </c>
      <c r="E100" s="9" t="s">
        <v>427</v>
      </c>
      <c r="F100" s="9" t="s">
        <v>38</v>
      </c>
      <c r="G100" s="9" t="s">
        <v>48</v>
      </c>
      <c r="H100" s="9" t="s">
        <v>42</v>
      </c>
      <c r="I100" s="9" t="s">
        <v>42</v>
      </c>
      <c r="J100" s="9" t="s">
        <v>42</v>
      </c>
      <c r="K100" s="10"/>
      <c r="L100" s="9" t="s">
        <v>428</v>
      </c>
      <c r="M100" s="9" t="s">
        <v>11</v>
      </c>
      <c r="N100" s="9" t="str">
        <f aca="false">IF(K100="",M100,IF(K100&lt;Súhrn!$B$3,"Po uzávierke",IF(M100="Očakávaná","Očakávaná",IF(K100-Súhrn!$B$3&lt;=14,"Končí do 14 dní","Otvorená"))))</f>
        <v>Priebežná</v>
      </c>
      <c r="O100" s="11" t="str">
        <f aca="false">IF(K100="","",K100-Súhrn!$B$3)</f>
        <v/>
      </c>
      <c r="P100" s="9" t="s">
        <v>5</v>
      </c>
      <c r="Q100" s="9"/>
      <c r="R100" s="9" t="s">
        <v>44</v>
      </c>
    </row>
    <row r="101" customFormat="false" ht="15" hidden="false" customHeight="false" outlineLevel="0" collapsed="false">
      <c r="A101" s="9" t="n">
        <v>83</v>
      </c>
      <c r="B101" s="9" t="s">
        <v>13</v>
      </c>
      <c r="C101" s="9" t="s">
        <v>358</v>
      </c>
      <c r="D101" s="9" t="s">
        <v>429</v>
      </c>
      <c r="E101" s="9" t="s">
        <v>430</v>
      </c>
      <c r="F101" s="9" t="s">
        <v>38</v>
      </c>
      <c r="G101" s="9" t="s">
        <v>48</v>
      </c>
      <c r="H101" s="9" t="s">
        <v>42</v>
      </c>
      <c r="I101" s="9" t="s">
        <v>41</v>
      </c>
      <c r="J101" s="9" t="s">
        <v>42</v>
      </c>
      <c r="K101" s="10"/>
      <c r="L101" s="9" t="s">
        <v>431</v>
      </c>
      <c r="M101" s="9" t="s">
        <v>11</v>
      </c>
      <c r="N101" s="9" t="str">
        <f aca="false">IF(K101="",M101,IF(K101&lt;Súhrn!$B$3,"Po uzávierke",IF(M101="Očakávaná","Očakávaná",IF(K101-Súhrn!$B$3&lt;=14,"Končí do 14 dní","Otvorená"))))</f>
        <v>Priebežná</v>
      </c>
      <c r="O101" s="11" t="str">
        <f aca="false">IF(K101="","",K101-Súhrn!$B$3)</f>
        <v/>
      </c>
      <c r="P101" s="9" t="s">
        <v>5</v>
      </c>
      <c r="Q101" s="9"/>
      <c r="R101" s="9" t="s">
        <v>44</v>
      </c>
    </row>
    <row r="102" customFormat="false" ht="15" hidden="false" customHeight="false" outlineLevel="0" collapsed="false">
      <c r="A102" s="9" t="n">
        <v>84</v>
      </c>
      <c r="B102" s="9" t="s">
        <v>13</v>
      </c>
      <c r="C102" s="9" t="s">
        <v>432</v>
      </c>
      <c r="D102" s="9" t="s">
        <v>433</v>
      </c>
      <c r="E102" s="9" t="s">
        <v>434</v>
      </c>
      <c r="F102" s="9" t="s">
        <v>38</v>
      </c>
      <c r="G102" s="9" t="s">
        <v>77</v>
      </c>
      <c r="H102" s="9" t="s">
        <v>42</v>
      </c>
      <c r="I102" s="9" t="s">
        <v>41</v>
      </c>
      <c r="J102" s="9" t="s">
        <v>42</v>
      </c>
      <c r="K102" s="10"/>
      <c r="L102" s="9" t="s">
        <v>435</v>
      </c>
      <c r="M102" s="9" t="s">
        <v>11</v>
      </c>
      <c r="N102" s="9" t="str">
        <f aca="false">IF(K102="",M102,IF(K102&lt;Súhrn!$B$3,"Po uzávierke",IF(M102="Očakávaná","Očakávaná",IF(K102-Súhrn!$B$3&lt;=14,"Končí do 14 dní","Otvorená"))))</f>
        <v>Priebežná</v>
      </c>
      <c r="O102" s="11" t="str">
        <f aca="false">IF(K102="","",K102-Súhrn!$B$3)</f>
        <v/>
      </c>
      <c r="P102" s="9" t="s">
        <v>5</v>
      </c>
      <c r="Q102" s="9" t="s">
        <v>436</v>
      </c>
      <c r="R102" s="9" t="s">
        <v>44</v>
      </c>
    </row>
    <row r="103" customFormat="false" ht="15" hidden="false" customHeight="false" outlineLevel="0" collapsed="false">
      <c r="A103" s="9" t="n">
        <v>88</v>
      </c>
      <c r="B103" s="9" t="s">
        <v>13</v>
      </c>
      <c r="C103" s="9" t="s">
        <v>437</v>
      </c>
      <c r="D103" s="9" t="s">
        <v>438</v>
      </c>
      <c r="E103" s="9" t="s">
        <v>439</v>
      </c>
      <c r="F103" s="9" t="s">
        <v>38</v>
      </c>
      <c r="G103" s="9" t="s">
        <v>48</v>
      </c>
      <c r="H103" s="9" t="s">
        <v>42</v>
      </c>
      <c r="I103" s="9" t="s">
        <v>42</v>
      </c>
      <c r="J103" s="9" t="s">
        <v>42</v>
      </c>
      <c r="K103" s="10"/>
      <c r="L103" s="9" t="s">
        <v>207</v>
      </c>
      <c r="M103" s="9" t="s">
        <v>11</v>
      </c>
      <c r="N103" s="9" t="str">
        <f aca="false">IF(K103="",M103,IF(K103&lt;Súhrn!$B$3,"Po uzávierke",IF(M103="Očakávaná","Očakávaná",IF(K103-Súhrn!$B$3&lt;=14,"Končí do 14 dní","Otvorená"))))</f>
        <v>Priebežná</v>
      </c>
      <c r="O103" s="11" t="str">
        <f aca="false">IF(K103="","",K103-Súhrn!$B$3)</f>
        <v/>
      </c>
      <c r="P103" s="9" t="s">
        <v>5</v>
      </c>
      <c r="Q103" s="9"/>
      <c r="R103" s="9" t="s">
        <v>44</v>
      </c>
    </row>
    <row r="104" customFormat="false" ht="15" hidden="false" customHeight="false" outlineLevel="0" collapsed="false">
      <c r="A104" s="9" t="n">
        <v>89</v>
      </c>
      <c r="B104" s="9" t="s">
        <v>13</v>
      </c>
      <c r="C104" s="9" t="s">
        <v>432</v>
      </c>
      <c r="D104" s="9" t="s">
        <v>440</v>
      </c>
      <c r="E104" s="9" t="s">
        <v>441</v>
      </c>
      <c r="F104" s="9" t="s">
        <v>38</v>
      </c>
      <c r="G104" s="9" t="s">
        <v>77</v>
      </c>
      <c r="H104" s="9" t="s">
        <v>42</v>
      </c>
      <c r="I104" s="9" t="s">
        <v>41</v>
      </c>
      <c r="J104" s="9" t="s">
        <v>42</v>
      </c>
      <c r="K104" s="10"/>
      <c r="L104" s="9" t="s">
        <v>435</v>
      </c>
      <c r="M104" s="9" t="s">
        <v>11</v>
      </c>
      <c r="N104" s="9" t="str">
        <f aca="false">IF(K104="",M104,IF(K104&lt;Súhrn!$B$3,"Po uzávierke",IF(M104="Očakávaná","Očakávaná",IF(K104-Súhrn!$B$3&lt;=14,"Končí do 14 dní","Otvorená"))))</f>
        <v>Priebežná</v>
      </c>
      <c r="O104" s="11" t="str">
        <f aca="false">IF(K104="","",K104-Súhrn!$B$3)</f>
        <v/>
      </c>
      <c r="P104" s="9" t="s">
        <v>5</v>
      </c>
      <c r="Q104" s="9"/>
      <c r="R104" s="9" t="s">
        <v>44</v>
      </c>
    </row>
    <row r="105" customFormat="false" ht="15" hidden="false" customHeight="false" outlineLevel="0" collapsed="false">
      <c r="A105" s="9" t="n">
        <v>90</v>
      </c>
      <c r="B105" s="9" t="s">
        <v>13</v>
      </c>
      <c r="C105" s="9" t="s">
        <v>442</v>
      </c>
      <c r="D105" s="9" t="s">
        <v>443</v>
      </c>
      <c r="E105" s="9" t="s">
        <v>444</v>
      </c>
      <c r="F105" s="9" t="s">
        <v>38</v>
      </c>
      <c r="G105" s="9" t="s">
        <v>48</v>
      </c>
      <c r="H105" s="9" t="s">
        <v>42</v>
      </c>
      <c r="I105" s="9" t="s">
        <v>42</v>
      </c>
      <c r="J105" s="9" t="s">
        <v>445</v>
      </c>
      <c r="K105" s="10"/>
      <c r="L105" s="9" t="s">
        <v>207</v>
      </c>
      <c r="M105" s="9" t="s">
        <v>11</v>
      </c>
      <c r="N105" s="9" t="str">
        <f aca="false">IF(K105="",M105,IF(K105&lt;Súhrn!$B$3,"Po uzávierke",IF(M105="Očakávaná","Očakávaná",IF(K105-Súhrn!$B$3&lt;=14,"Končí do 14 dní","Otvorená"))))</f>
        <v>Priebežná</v>
      </c>
      <c r="O105" s="11" t="str">
        <f aca="false">IF(K105="","",K105-Súhrn!$B$3)</f>
        <v/>
      </c>
      <c r="P105" s="9" t="s">
        <v>5</v>
      </c>
      <c r="Q105" s="9"/>
      <c r="R105" s="9" t="s">
        <v>44</v>
      </c>
    </row>
    <row r="106" customFormat="false" ht="15" hidden="false" customHeight="false" outlineLevel="0" collapsed="false">
      <c r="A106" s="9" t="n">
        <v>91</v>
      </c>
      <c r="B106" s="9" t="s">
        <v>13</v>
      </c>
      <c r="C106" s="9" t="s">
        <v>432</v>
      </c>
      <c r="D106" s="9" t="s">
        <v>446</v>
      </c>
      <c r="E106" s="9" t="s">
        <v>447</v>
      </c>
      <c r="F106" s="9" t="s">
        <v>38</v>
      </c>
      <c r="G106" s="9" t="s">
        <v>77</v>
      </c>
      <c r="H106" s="9" t="s">
        <v>42</v>
      </c>
      <c r="I106" s="9" t="s">
        <v>41</v>
      </c>
      <c r="J106" s="9" t="s">
        <v>42</v>
      </c>
      <c r="K106" s="10"/>
      <c r="L106" s="9" t="s">
        <v>435</v>
      </c>
      <c r="M106" s="9" t="s">
        <v>11</v>
      </c>
      <c r="N106" s="9" t="str">
        <f aca="false">IF(K106="",M106,IF(K106&lt;Súhrn!$B$3,"Po uzávierke",IF(M106="Očakávaná","Očakávaná",IF(K106-Súhrn!$B$3&lt;=14,"Končí do 14 dní","Otvorená"))))</f>
        <v>Priebežná</v>
      </c>
      <c r="O106" s="11" t="str">
        <f aca="false">IF(K106="","",K106-Súhrn!$B$3)</f>
        <v/>
      </c>
      <c r="P106" s="9" t="s">
        <v>5</v>
      </c>
      <c r="Q106" s="9"/>
      <c r="R106" s="9" t="s">
        <v>44</v>
      </c>
    </row>
    <row r="107" customFormat="false" ht="15" hidden="false" customHeight="false" outlineLevel="0" collapsed="false">
      <c r="A107" s="9" t="n">
        <v>7</v>
      </c>
      <c r="B107" s="9" t="s">
        <v>13</v>
      </c>
      <c r="C107" s="9" t="s">
        <v>263</v>
      </c>
      <c r="D107" s="9" t="s">
        <v>448</v>
      </c>
      <c r="E107" s="9" t="s">
        <v>275</v>
      </c>
      <c r="F107" s="9" t="s">
        <v>38</v>
      </c>
      <c r="G107" s="9" t="s">
        <v>77</v>
      </c>
      <c r="H107" s="9" t="s">
        <v>449</v>
      </c>
      <c r="I107" s="9" t="s">
        <v>42</v>
      </c>
      <c r="J107" s="9" t="s">
        <v>383</v>
      </c>
      <c r="K107" s="10" t="n">
        <v>46287</v>
      </c>
      <c r="L107" s="9"/>
      <c r="M107" s="9" t="s">
        <v>9</v>
      </c>
      <c r="N107" s="9" t="str">
        <f aca="false">IF(K107="",M107,IF(K107&lt;Súhrn!$B$3,"Po uzávierke",IF(M107="Očakávaná","Očakávaná",IF(K107-Súhrn!$B$3&lt;=14,"Končí do 14 dní","Otvorená"))))</f>
        <v>Po uzávierke</v>
      </c>
      <c r="O107" s="11" t="n">
        <f aca="false">IF(K107="","",K107-Súhrn!$B$3)</f>
        <v>-3</v>
      </c>
      <c r="P107" s="9" t="s">
        <v>5</v>
      </c>
      <c r="Q107" s="9"/>
      <c r="R107" s="9" t="s">
        <v>44</v>
      </c>
    </row>
    <row r="108" customFormat="false" ht="15" hidden="false" customHeight="false" outlineLevel="0" collapsed="false">
      <c r="A108" s="9" t="n">
        <v>8</v>
      </c>
      <c r="B108" s="9" t="s">
        <v>13</v>
      </c>
      <c r="C108" s="9" t="s">
        <v>263</v>
      </c>
      <c r="D108" s="9" t="s">
        <v>450</v>
      </c>
      <c r="E108" s="9" t="s">
        <v>347</v>
      </c>
      <c r="F108" s="9" t="s">
        <v>38</v>
      </c>
      <c r="G108" s="9" t="s">
        <v>77</v>
      </c>
      <c r="H108" s="9" t="s">
        <v>451</v>
      </c>
      <c r="I108" s="9" t="s">
        <v>41</v>
      </c>
      <c r="J108" s="9" t="s">
        <v>452</v>
      </c>
      <c r="K108" s="10" t="n">
        <v>46288</v>
      </c>
      <c r="L108" s="9"/>
      <c r="M108" s="9" t="s">
        <v>9</v>
      </c>
      <c r="N108" s="9" t="str">
        <f aca="false">IF(K108="",M108,IF(K108&lt;Súhrn!$B$3,"Po uzávierke",IF(M108="Očakávaná","Očakávaná",IF(K108-Súhrn!$B$3&lt;=14,"Končí do 14 dní","Otvorená"))))</f>
        <v>Po uzávierke</v>
      </c>
      <c r="O108" s="11" t="n">
        <f aca="false">IF(K108="","",K108-Súhrn!$B$3)</f>
        <v>-2</v>
      </c>
      <c r="P108" s="9" t="s">
        <v>5</v>
      </c>
      <c r="Q108" s="9"/>
      <c r="R108" s="9" t="s">
        <v>44</v>
      </c>
    </row>
    <row r="109" customFormat="false" ht="15" hidden="false" customHeight="false" outlineLevel="0" collapsed="false">
      <c r="A109" s="9" t="n">
        <v>9</v>
      </c>
      <c r="B109" s="9" t="s">
        <v>13</v>
      </c>
      <c r="C109" s="9" t="s">
        <v>453</v>
      </c>
      <c r="D109" s="9" t="s">
        <v>454</v>
      </c>
      <c r="E109" s="9" t="s">
        <v>455</v>
      </c>
      <c r="F109" s="9" t="s">
        <v>456</v>
      </c>
      <c r="G109" s="9" t="s">
        <v>77</v>
      </c>
      <c r="H109" s="9" t="s">
        <v>457</v>
      </c>
      <c r="I109" s="9" t="s">
        <v>42</v>
      </c>
      <c r="J109" s="9" t="s">
        <v>42</v>
      </c>
      <c r="K109" s="10" t="n">
        <v>46288</v>
      </c>
      <c r="L109" s="9"/>
      <c r="M109" s="9" t="s">
        <v>9</v>
      </c>
      <c r="N109" s="9" t="str">
        <f aca="false">IF(K109="",M109,IF(K109&lt;Súhrn!$B$3,"Po uzávierke",IF(M109="Očakávaná","Očakávaná",IF(K109-Súhrn!$B$3&lt;=14,"Končí do 14 dní","Otvorená"))))</f>
        <v>Po uzávierke</v>
      </c>
      <c r="O109" s="11" t="n">
        <f aca="false">IF(K109="","",K109-Súhrn!$B$3)</f>
        <v>-2</v>
      </c>
      <c r="P109" s="9" t="s">
        <v>5</v>
      </c>
      <c r="Q109" s="9" t="s">
        <v>458</v>
      </c>
      <c r="R109" s="9" t="s">
        <v>44</v>
      </c>
    </row>
    <row r="110" customFormat="false" ht="15" hidden="false" customHeight="false" outlineLevel="0" collapsed="false">
      <c r="A110" s="9" t="n">
        <v>10</v>
      </c>
      <c r="B110" s="9" t="s">
        <v>13</v>
      </c>
      <c r="C110" s="9" t="s">
        <v>453</v>
      </c>
      <c r="D110" s="9" t="s">
        <v>459</v>
      </c>
      <c r="E110" s="9" t="s">
        <v>455</v>
      </c>
      <c r="F110" s="9" t="s">
        <v>456</v>
      </c>
      <c r="G110" s="9" t="s">
        <v>77</v>
      </c>
      <c r="H110" s="9" t="s">
        <v>460</v>
      </c>
      <c r="I110" s="9" t="s">
        <v>42</v>
      </c>
      <c r="J110" s="9" t="s">
        <v>42</v>
      </c>
      <c r="K110" s="10" t="n">
        <v>46288</v>
      </c>
      <c r="L110" s="9"/>
      <c r="M110" s="9" t="s">
        <v>9</v>
      </c>
      <c r="N110" s="9" t="str">
        <f aca="false">IF(K110="",M110,IF(K110&lt;Súhrn!$B$3,"Po uzávierke",IF(M110="Očakávaná","Očakávaná",IF(K110-Súhrn!$B$3&lt;=14,"Končí do 14 dní","Otvorená"))))</f>
        <v>Po uzávierke</v>
      </c>
      <c r="O110" s="11" t="n">
        <f aca="false">IF(K110="","",K110-Súhrn!$B$3)</f>
        <v>-2</v>
      </c>
      <c r="P110" s="9" t="s">
        <v>5</v>
      </c>
      <c r="Q110" s="9" t="s">
        <v>458</v>
      </c>
      <c r="R110" s="9" t="s">
        <v>44</v>
      </c>
    </row>
    <row r="111" customFormat="false" ht="15" hidden="false" customHeight="false" outlineLevel="0" collapsed="false">
      <c r="A111" s="9" t="n">
        <v>11</v>
      </c>
      <c r="B111" s="9" t="s">
        <v>13</v>
      </c>
      <c r="C111" s="9" t="s">
        <v>263</v>
      </c>
      <c r="D111" s="9" t="s">
        <v>461</v>
      </c>
      <c r="E111" s="9" t="s">
        <v>275</v>
      </c>
      <c r="F111" s="9" t="s">
        <v>38</v>
      </c>
      <c r="G111" s="9" t="s">
        <v>77</v>
      </c>
      <c r="H111" s="9" t="s">
        <v>451</v>
      </c>
      <c r="I111" s="9" t="s">
        <v>41</v>
      </c>
      <c r="J111" s="9" t="s">
        <v>279</v>
      </c>
      <c r="K111" s="10" t="n">
        <v>46288</v>
      </c>
      <c r="L111" s="9"/>
      <c r="M111" s="9" t="s">
        <v>9</v>
      </c>
      <c r="N111" s="9" t="str">
        <f aca="false">IF(K111="",M111,IF(K111&lt;Súhrn!$B$3,"Po uzávierke",IF(M111="Očakávaná","Očakávaná",IF(K111-Súhrn!$B$3&lt;=14,"Končí do 14 dní","Otvorená"))))</f>
        <v>Po uzávierke</v>
      </c>
      <c r="O111" s="11" t="n">
        <f aca="false">IF(K111="","",K111-Súhrn!$B$3)</f>
        <v>-2</v>
      </c>
      <c r="P111" s="9" t="s">
        <v>5</v>
      </c>
      <c r="Q111" s="9"/>
      <c r="R111" s="9" t="s">
        <v>44</v>
      </c>
    </row>
    <row r="112" customFormat="false" ht="23.85" hidden="false" customHeight="false" outlineLevel="0" collapsed="false">
      <c r="A112" s="9" t="n">
        <v>12</v>
      </c>
      <c r="B112" s="9" t="s">
        <v>13</v>
      </c>
      <c r="C112" s="9" t="s">
        <v>263</v>
      </c>
      <c r="D112" s="9" t="s">
        <v>462</v>
      </c>
      <c r="E112" s="9" t="s">
        <v>275</v>
      </c>
      <c r="F112" s="9" t="s">
        <v>38</v>
      </c>
      <c r="G112" s="9" t="s">
        <v>77</v>
      </c>
      <c r="H112" s="9" t="s">
        <v>451</v>
      </c>
      <c r="I112" s="9" t="s">
        <v>463</v>
      </c>
      <c r="J112" s="9" t="s">
        <v>452</v>
      </c>
      <c r="K112" s="10" t="n">
        <v>46288</v>
      </c>
      <c r="L112" s="9"/>
      <c r="M112" s="9" t="s">
        <v>9</v>
      </c>
      <c r="N112" s="9" t="str">
        <f aca="false">IF(K112="",M112,IF(K112&lt;Súhrn!$B$3,"Po uzávierke",IF(M112="Očakávaná","Očakávaná",IF(K112-Súhrn!$B$3&lt;=14,"Končí do 14 dní","Otvorená"))))</f>
        <v>Po uzávierke</v>
      </c>
      <c r="O112" s="11" t="n">
        <f aca="false">IF(K112="","",K112-Súhrn!$B$3)</f>
        <v>-2</v>
      </c>
      <c r="P112" s="9" t="s">
        <v>5</v>
      </c>
      <c r="Q112" s="9"/>
      <c r="R112" s="9" t="s">
        <v>44</v>
      </c>
    </row>
    <row r="113" customFormat="false" ht="15" hidden="false" customHeight="false" outlineLevel="0" collapsed="false">
      <c r="A113" s="9" t="n">
        <v>13</v>
      </c>
      <c r="B113" s="9" t="s">
        <v>13</v>
      </c>
      <c r="C113" s="9" t="s">
        <v>464</v>
      </c>
      <c r="D113" s="9" t="s">
        <v>465</v>
      </c>
      <c r="E113" s="9" t="s">
        <v>466</v>
      </c>
      <c r="F113" s="9" t="s">
        <v>38</v>
      </c>
      <c r="G113" s="9" t="s">
        <v>77</v>
      </c>
      <c r="H113" s="9" t="s">
        <v>467</v>
      </c>
      <c r="I113" s="9" t="s">
        <v>42</v>
      </c>
      <c r="J113" s="9" t="s">
        <v>276</v>
      </c>
      <c r="K113" s="10" t="n">
        <v>46288</v>
      </c>
      <c r="L113" s="9"/>
      <c r="M113" s="9" t="s">
        <v>9</v>
      </c>
      <c r="N113" s="9" t="str">
        <f aca="false">IF(K113="",M113,IF(K113&lt;Súhrn!$B$3,"Po uzávierke",IF(M113="Očakávaná","Očakávaná",IF(K113-Súhrn!$B$3&lt;=14,"Končí do 14 dní","Otvorená"))))</f>
        <v>Po uzávierke</v>
      </c>
      <c r="O113" s="11" t="n">
        <f aca="false">IF(K113="","",K113-Súhrn!$B$3)</f>
        <v>-2</v>
      </c>
      <c r="P113" s="9" t="s">
        <v>5</v>
      </c>
      <c r="Q113" s="9"/>
      <c r="R113" s="9" t="s">
        <v>44</v>
      </c>
    </row>
    <row r="114" customFormat="false" ht="15" hidden="false" customHeight="false" outlineLevel="0" collapsed="false">
      <c r="A114" s="9" t="n">
        <v>14</v>
      </c>
      <c r="B114" s="9" t="s">
        <v>13</v>
      </c>
      <c r="C114" s="9" t="s">
        <v>263</v>
      </c>
      <c r="D114" s="9" t="s">
        <v>468</v>
      </c>
      <c r="E114" s="9" t="s">
        <v>469</v>
      </c>
      <c r="F114" s="9" t="s">
        <v>38</v>
      </c>
      <c r="G114" s="9" t="s">
        <v>77</v>
      </c>
      <c r="H114" s="9" t="s">
        <v>256</v>
      </c>
      <c r="I114" s="9" t="s">
        <v>41</v>
      </c>
      <c r="J114" s="9" t="s">
        <v>42</v>
      </c>
      <c r="K114" s="10" t="n">
        <v>46289</v>
      </c>
      <c r="L114" s="9"/>
      <c r="M114" s="9" t="s">
        <v>9</v>
      </c>
      <c r="N114" s="9" t="str">
        <f aca="false">IF(K114="",M114,IF(K114&lt;Súhrn!$B$3,"Po uzávierke",IF(M114="Očakávaná","Očakávaná",IF(K114-Súhrn!$B$3&lt;=14,"Končí do 14 dní","Otvorená"))))</f>
        <v>Po uzávierke</v>
      </c>
      <c r="O114" s="11" t="n">
        <f aca="false">IF(K114="","",K114-Súhrn!$B$3)</f>
        <v>-1</v>
      </c>
      <c r="P114" s="9" t="s">
        <v>5</v>
      </c>
      <c r="Q114" s="9"/>
      <c r="R114" s="9" t="s">
        <v>44</v>
      </c>
    </row>
    <row r="115" customFormat="false" ht="15" hidden="false" customHeight="false" outlineLevel="0" collapsed="false">
      <c r="A115" s="9" t="n">
        <v>15</v>
      </c>
      <c r="B115" s="9" t="s">
        <v>13</v>
      </c>
      <c r="C115" s="9" t="s">
        <v>263</v>
      </c>
      <c r="D115" s="9" t="s">
        <v>470</v>
      </c>
      <c r="E115" s="9" t="s">
        <v>360</v>
      </c>
      <c r="F115" s="9" t="s">
        <v>38</v>
      </c>
      <c r="G115" s="9" t="s">
        <v>77</v>
      </c>
      <c r="H115" s="9" t="s">
        <v>255</v>
      </c>
      <c r="I115" s="9" t="s">
        <v>42</v>
      </c>
      <c r="J115" s="9" t="s">
        <v>471</v>
      </c>
      <c r="K115" s="10" t="n">
        <v>46289</v>
      </c>
      <c r="L115" s="9"/>
      <c r="M115" s="9" t="s">
        <v>9</v>
      </c>
      <c r="N115" s="9" t="str">
        <f aca="false">IF(K115="",M115,IF(K115&lt;Súhrn!$B$3,"Po uzávierke",IF(M115="Očakávaná","Očakávaná",IF(K115-Súhrn!$B$3&lt;=14,"Končí do 14 dní","Otvorená"))))</f>
        <v>Po uzávierke</v>
      </c>
      <c r="O115" s="11" t="n">
        <f aca="false">IF(K115="","",K115-Súhrn!$B$3)</f>
        <v>-1</v>
      </c>
      <c r="P115" s="9" t="s">
        <v>5</v>
      </c>
      <c r="Q115" s="9"/>
      <c r="R115" s="9" t="s">
        <v>44</v>
      </c>
    </row>
    <row r="116" customFormat="false" ht="15" hidden="false" customHeight="false" outlineLevel="0" collapsed="false">
      <c r="A116" s="9" t="n">
        <v>16</v>
      </c>
      <c r="B116" s="9" t="s">
        <v>13</v>
      </c>
      <c r="C116" s="9" t="s">
        <v>353</v>
      </c>
      <c r="D116" s="9" t="s">
        <v>472</v>
      </c>
      <c r="E116" s="9" t="s">
        <v>275</v>
      </c>
      <c r="F116" s="9" t="s">
        <v>38</v>
      </c>
      <c r="G116" s="9" t="s">
        <v>77</v>
      </c>
      <c r="H116" s="9" t="s">
        <v>299</v>
      </c>
      <c r="I116" s="9" t="s">
        <v>42</v>
      </c>
      <c r="J116" s="9" t="s">
        <v>42</v>
      </c>
      <c r="K116" s="10" t="n">
        <v>46289</v>
      </c>
      <c r="L116" s="9"/>
      <c r="M116" s="9" t="s">
        <v>9</v>
      </c>
      <c r="N116" s="9" t="str">
        <f aca="false">IF(K116="",M116,IF(K116&lt;Súhrn!$B$3,"Po uzávierke",IF(M116="Očakávaná","Očakávaná",IF(K116-Súhrn!$B$3&lt;=14,"Končí do 14 dní","Otvorená"))))</f>
        <v>Po uzávierke</v>
      </c>
      <c r="O116" s="11" t="n">
        <f aca="false">IF(K116="","",K116-Súhrn!$B$3)</f>
        <v>-1</v>
      </c>
      <c r="P116" s="9" t="s">
        <v>5</v>
      </c>
      <c r="Q116" s="9"/>
      <c r="R116" s="9" t="s">
        <v>44</v>
      </c>
    </row>
    <row r="117" customFormat="false" ht="15" hidden="false" customHeight="false" outlineLevel="0" collapsed="false">
      <c r="A117" s="9" t="n">
        <v>17</v>
      </c>
      <c r="B117" s="9" t="s">
        <v>13</v>
      </c>
      <c r="C117" s="9" t="s">
        <v>263</v>
      </c>
      <c r="D117" s="9" t="s">
        <v>473</v>
      </c>
      <c r="E117" s="9" t="s">
        <v>275</v>
      </c>
      <c r="F117" s="9" t="s">
        <v>38</v>
      </c>
      <c r="G117" s="9" t="s">
        <v>77</v>
      </c>
      <c r="H117" s="9" t="s">
        <v>256</v>
      </c>
      <c r="I117" s="9" t="s">
        <v>41</v>
      </c>
      <c r="J117" s="9" t="s">
        <v>42</v>
      </c>
      <c r="K117" s="10" t="n">
        <v>46289</v>
      </c>
      <c r="L117" s="9"/>
      <c r="M117" s="9" t="s">
        <v>9</v>
      </c>
      <c r="N117" s="9" t="str">
        <f aca="false">IF(K117="",M117,IF(K117&lt;Súhrn!$B$3,"Po uzávierke",IF(M117="Očakávaná","Očakávaná",IF(K117-Súhrn!$B$3&lt;=14,"Končí do 14 dní","Otvorená"))))</f>
        <v>Po uzávierke</v>
      </c>
      <c r="O117" s="11" t="n">
        <f aca="false">IF(K117="","",K117-Súhrn!$B$3)</f>
        <v>-1</v>
      </c>
      <c r="P117" s="9" t="s">
        <v>5</v>
      </c>
      <c r="Q117" s="9"/>
      <c r="R117" s="9" t="s">
        <v>44</v>
      </c>
    </row>
  </sheetData>
  <autoFilter ref="A1:R117"/>
  <conditionalFormatting sqref="N2:N117">
    <cfRule type="expression" priority="2" aboveAverage="0" equalAverage="0" bottom="0" percent="0" rank="0" text="" dxfId="11">
      <formula>N2="Po uzávierke"</formula>
    </cfRule>
    <cfRule type="expression" priority="3" aboveAverage="0" equalAverage="0" bottom="0" percent="0" rank="0" text="" dxfId="12">
      <formula>N2="Končí do 14 dní"</formula>
    </cfRule>
    <cfRule type="expression" priority="4" aboveAverage="0" equalAverage="0" bottom="0" percent="0" rank="0" text="" dxfId="13">
      <formula>N2="Otvorená"</formula>
    </cfRule>
    <cfRule type="expression" priority="5" aboveAverage="0" equalAverage="0" bottom="0" percent="0" rank="0" text="" dxfId="14">
      <formula>N2="Očakávaná"</formula>
    </cfRule>
  </conditionalFormatting>
  <conditionalFormatting sqref="P2:P117">
    <cfRule type="expression" priority="6" aboveAverage="0" equalAverage="0" bottom="0" percent="0" rank="0" text="" dxfId="15">
      <formula>P2="Vysoká"</formula>
    </cfRule>
  </conditionalFormatting>
  <conditionalFormatting sqref="A2:M117">
    <cfRule type="expression" priority="7" aboveAverage="0" equalAverage="0" bottom="0" percent="0" rank="0" text="" dxfId="16">
      <formula>$N2="Po uzávierke"</formula>
    </cfRule>
  </conditionalFormatting>
  <dataValidations count="1">
    <dataValidation allowBlank="true" errorStyle="stop" operator="between" showDropDown="false" showErrorMessage="false" showInputMessage="false" sqref="P2:P117" type="list">
      <formula1>"Vysoká,Stredná,Nízka"</formula1>
      <formula2>0</formula2>
    </dataValidation>
  </dataValidations>
  <hyperlinks>
    <hyperlink ref="R7" r:id="rId1" display="https://www.businessinfo.cz/clanky/kraj-vysocina-vyhlasil-podnikatelske-vouchery-2026/"/>
    <hyperlink ref="R10" r:id="rId2" display="https://sfzp.gov.cz/dotace-a-pujcky/modernizacni-fond/vyzvy/"/>
    <hyperlink ref="R11" r:id="rId3" display="https://sfzp.gov.cz/dotace-a-pujcky/modernizacni-fond/vyzvy/"/>
    <hyperlink ref="R12" r:id="rId4" display="https://www.businessinfo.cz/clanky/op-tak-vyhlaseni-vyzvy-ii-technologie-pro-mas-clld/"/>
    <hyperlink ref="R22" r:id="rId5" display="https://agro-svet.cz/dotace/kalendar-kol/"/>
    <hyperlink ref="R23" r:id="rId6" display="https://sfzp.gov.cz/dotace-a-pujcky/modernizacni-fond/vyzvy/"/>
    <hyperlink ref="R30" r:id="rId7" display="https://irop.gov.cz/cs/vyzvy-2021-2027"/>
    <hyperlink ref="R31" r:id="rId8" display="https://opst.cz/aktualizovany-harmonogram-vyzev-opst-zkontrolujte-terminy-nektere-vyzvy-brzy-konci/"/>
    <hyperlink ref="R43" r:id="rId9" display="https://www.dreport.cz/blog/pripravuje-se-nova-vyzva-irop-pro-kybernetickou-bezpecnost/"/>
    <hyperlink ref="R44" r:id="rId10" display="https://www.energosolar.cz/dotace-fotovoltaika-v-roce-2026/"/>
    <hyperlink ref="R90" r:id="rId11" display="https://sfzp.gov.cz/dotace-a-pujcky/modernizacni-fond/vyzvy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4" t="s">
        <v>474</v>
      </c>
      <c r="B1" s="15"/>
    </row>
    <row r="2" customFormat="false" ht="23.85" hidden="false" customHeight="false" outlineLevel="0" collapsed="false">
      <c r="A2" s="2" t="s">
        <v>475</v>
      </c>
      <c r="B2" s="15" t="s">
        <v>476</v>
      </c>
    </row>
    <row r="3" customFormat="false" ht="15" hidden="false" customHeight="false" outlineLevel="0" collapsed="false">
      <c r="A3" s="2" t="s">
        <v>18</v>
      </c>
      <c r="B3" s="15" t="s">
        <v>477</v>
      </c>
    </row>
    <row r="4" customFormat="false" ht="15" hidden="false" customHeight="false" outlineLevel="0" collapsed="false">
      <c r="A4" s="2" t="s">
        <v>30</v>
      </c>
      <c r="B4" s="15" t="s">
        <v>478</v>
      </c>
    </row>
    <row r="5" customFormat="false" ht="23.85" hidden="false" customHeight="false" outlineLevel="0" collapsed="false">
      <c r="A5" s="2" t="s">
        <v>479</v>
      </c>
      <c r="B5" s="15" t="s">
        <v>480</v>
      </c>
    </row>
    <row r="6" customFormat="false" ht="15" hidden="false" customHeight="false" outlineLevel="0" collapsed="false">
      <c r="A6" s="2" t="s">
        <v>481</v>
      </c>
      <c r="B6" s="15" t="s">
        <v>482</v>
      </c>
    </row>
    <row r="7" customFormat="false" ht="15" hidden="false" customHeight="false" outlineLevel="0" collapsed="false">
      <c r="A7" s="2" t="s">
        <v>483</v>
      </c>
      <c r="B7" s="15" t="s">
        <v>484</v>
      </c>
    </row>
    <row r="8" customFormat="false" ht="23.85" hidden="false" customHeight="false" outlineLevel="0" collapsed="false">
      <c r="A8" s="2" t="s">
        <v>485</v>
      </c>
      <c r="B8" s="15" t="s">
        <v>486</v>
      </c>
    </row>
    <row r="9" customFormat="false" ht="15" hidden="false" customHeight="false" outlineLevel="0" collapsed="false">
      <c r="A9" s="2" t="s">
        <v>487</v>
      </c>
      <c r="B9" s="15" t="s">
        <v>488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2026-09-25T19:16:00Z</dcterms:created>
  <dc:creator>Apoliak7777</dc:creator>
  <dc:description/>
  <dc:language>en-US</dc:language>
  <cp:lastModifiedBy/>
  <dcterms:modified xsi:type="dcterms:W3CDTF">2026-09-25T19:16:00Z</dcterms:modified>
  <cp:revision>0</cp:revision>
  <dc:subject/>
  <dc:title>Porovnanie dotačných výziev ČR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